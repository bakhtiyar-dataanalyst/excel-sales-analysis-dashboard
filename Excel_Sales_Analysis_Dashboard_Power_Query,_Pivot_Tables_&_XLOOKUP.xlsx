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excel\"/>
    </mc:Choice>
  </mc:AlternateContent>
  <xr:revisionPtr revIDLastSave="0" documentId="13_ncr:1_{28283CAF-D571-48D0-A729-D22A6369D7F6}" xr6:coauthVersionLast="47" xr6:coauthVersionMax="47" xr10:uidLastSave="{00000000-0000-0000-0000-000000000000}"/>
  <bookViews>
    <workbookView xWindow="-120" yWindow="-120" windowWidth="29040" windowHeight="15720" activeTab="2" xr2:uid="{36F57757-BB39-428D-8D37-F640902596D3}"/>
  </bookViews>
  <sheets>
    <sheet name="Raw Data" sheetId="1" r:id="rId1"/>
    <sheet name="Cleaned Data" sheetId="2" r:id="rId2"/>
    <sheet name="Analysis Dashboard" sheetId="3" r:id="rId3"/>
  </sheets>
  <definedNames>
    <definedName name="ExternalData_1" localSheetId="1" hidden="1">'Cleaned Data'!$A$1:$J$297</definedName>
    <definedName name="Slicer_Category">#N/A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2" i="2" l="1"/>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E29" i="3"/>
  <c r="E30" i="3"/>
  <c r="E31" i="3"/>
  <c r="E28" i="3"/>
  <c r="S22" i="2" a="1"/>
  <c r="S22" i="2"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3D440EC-4BD1-4D77-A76B-F8794465BCDB}" keepAlive="1" name="Query - Order ID,Order" description="Connection to the 'Order ID,Order' query in the workbook." type="5" refreshedVersion="7" background="1" saveData="1">
    <dbPr connection="Provider=Microsoft.Mashup.OleDb.1;Data Source=$Workbook$;Location=&quot;Order ID,Order&quot;;Extended Properties=&quot;&quot;" command="SELECT * FROM [Order ID,Order]"/>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<sst xmlns="http://schemas.openxmlformats.org/spreadsheetml/2006/main" count="1843" uniqueCount="662">
  <si>
    <t>Order ID</t>
  </si>
  <si>
    <t>Order Date</t>
  </si>
  <si>
    <t>Region</t>
  </si>
  <si>
    <t>Category</t>
  </si>
  <si>
    <t>Sub-Category</t>
  </si>
  <si>
    <t>Product Name</t>
  </si>
  <si>
    <t>Sales</t>
  </si>
  <si>
    <t>Quantity</t>
  </si>
  <si>
    <t>Discount</t>
  </si>
  <si>
    <t>Profit</t>
  </si>
  <si>
    <t>ORD-2025-10289</t>
  </si>
  <si>
    <t>West</t>
  </si>
  <si>
    <t>Chairs</t>
  </si>
  <si>
    <t>Ergonomic Mesh Chair</t>
  </si>
  <si>
    <t>ORD-2024-10010</t>
  </si>
  <si>
    <t>Storage</t>
  </si>
  <si>
    <t>Desktop Organizer Box</t>
  </si>
  <si>
    <t>ORD-2024-10058</t>
  </si>
  <si>
    <t>Technology</t>
  </si>
  <si>
    <t>Accessories</t>
  </si>
  <si>
    <t>Business Router Max</t>
  </si>
  <si>
    <t>ORD-2024-10061</t>
  </si>
  <si>
    <t>Office Supplies</t>
  </si>
  <si>
    <t>Paper</t>
  </si>
  <si>
    <t>Gel Pens 12-Pack</t>
  </si>
  <si>
    <t>ORD-2024-10026</t>
  </si>
  <si>
    <t>Furniture</t>
  </si>
  <si>
    <t>Tables</t>
  </si>
  <si>
    <t>Executive Leather Chair</t>
  </si>
  <si>
    <t>ORD-2024-10064</t>
  </si>
  <si>
    <t>Heavy Duty Binder</t>
  </si>
  <si>
    <t>ORD-2024-10093</t>
  </si>
  <si>
    <t>Dual Screen Monitor</t>
  </si>
  <si>
    <t>ORD-2025-10185</t>
  </si>
  <si>
    <t>South</t>
  </si>
  <si>
    <t>Appliances</t>
  </si>
  <si>
    <t>ORD-2025-10245</t>
  </si>
  <si>
    <t>Mechanical Keyboard</t>
  </si>
  <si>
    <t>ORD-2024-10047</t>
  </si>
  <si>
    <t>Copy Paper 500 Sheets</t>
  </si>
  <si>
    <t>ORD-2024-10076</t>
  </si>
  <si>
    <t>Smartphone X1</t>
  </si>
  <si>
    <t>ORD-2025-10164</t>
  </si>
  <si>
    <t>Machines</t>
  </si>
  <si>
    <t>ORD-2025-10296</t>
  </si>
  <si>
    <t>ORD-2025-10159</t>
  </si>
  <si>
    <t>ORD-2025-10290</t>
  </si>
  <si>
    <t>ORD-2024-10006</t>
  </si>
  <si>
    <t>Binders</t>
  </si>
  <si>
    <t>Stapler Executive Pro</t>
  </si>
  <si>
    <t>ORD-2025-10156</t>
  </si>
  <si>
    <t>ORD-2025-10165</t>
  </si>
  <si>
    <t>ORD-2025-10169</t>
  </si>
  <si>
    <t>Bookcases</t>
  </si>
  <si>
    <t>Wooden Bookcase 5-Shelf</t>
  </si>
  <si>
    <t>ORD-2024-10074</t>
  </si>
  <si>
    <t>HD Web Camera</t>
  </si>
  <si>
    <t>ORD-2024-10105</t>
  </si>
  <si>
    <t>Workstation PC Pro</t>
  </si>
  <si>
    <t>ORD-2024-10138</t>
  </si>
  <si>
    <t>Office Microwave</t>
  </si>
  <si>
    <t>ORD-2025-10207</t>
  </si>
  <si>
    <t>East</t>
  </si>
  <si>
    <t>ORD-2024-10077</t>
  </si>
  <si>
    <t>File Folders 100-Pack</t>
  </si>
  <si>
    <t>ORD-2025-10174</t>
  </si>
  <si>
    <t>Furnishings</t>
  </si>
  <si>
    <t>ORD-2024-10114</t>
  </si>
  <si>
    <t>ORD-2024-10034</t>
  </si>
  <si>
    <t>ORD-2025-10275</t>
  </si>
  <si>
    <t>ORD-2025-10252</t>
  </si>
  <si>
    <t>Whiteboard Markers 8-Pack</t>
  </si>
  <si>
    <t>ORD-2024-10109</t>
  </si>
  <si>
    <t>ORD-2024-10004</t>
  </si>
  <si>
    <t>ORD-2024-10083</t>
  </si>
  <si>
    <t>ORD-2024-10094</t>
  </si>
  <si>
    <t>Pens &amp; Art</t>
  </si>
  <si>
    <t>ORD-2024-10102</t>
  </si>
  <si>
    <t>ORD-2024-10046</t>
  </si>
  <si>
    <t>ORD-2024-10018</t>
  </si>
  <si>
    <t>ORD-2025-10198</t>
  </si>
  <si>
    <t>Phones</t>
  </si>
  <si>
    <t>Wireless Headset Pro</t>
  </si>
  <si>
    <t>ORD-2024-10120</t>
  </si>
  <si>
    <t>ORD-2024-10043</t>
  </si>
  <si>
    <t>Conference Table 8ft</t>
  </si>
  <si>
    <t>ORD-2024-10025</t>
  </si>
  <si>
    <t>ORD-2025-10180</t>
  </si>
  <si>
    <t>Lounge Sofa Seat</t>
  </si>
  <si>
    <t>ORD-2025-10243</t>
  </si>
  <si>
    <t>ORD-2025-10298</t>
  </si>
  <si>
    <t>ORD-2025-10197</t>
  </si>
  <si>
    <t>ORD-2025-10227</t>
  </si>
  <si>
    <t>ORD-2024-10008</t>
  </si>
  <si>
    <t>ORD-2025-10287</t>
  </si>
  <si>
    <t>Copiers</t>
  </si>
  <si>
    <t>Laser Copier 3000</t>
  </si>
  <si>
    <t>ORD-2024-10078</t>
  </si>
  <si>
    <t>ORD-2024-10115</t>
  </si>
  <si>
    <t>ORD-2025-10240</t>
  </si>
  <si>
    <t>ORD-2025-10146</t>
  </si>
  <si>
    <t>ORD-2024-10085</t>
  </si>
  <si>
    <t>ORD-2025-10182</t>
  </si>
  <si>
    <t>ORD-2025-10231</t>
  </si>
  <si>
    <t>ORD-2024-10014</t>
  </si>
  <si>
    <t>ORD-2025-10199</t>
  </si>
  <si>
    <t>ORD-2025-10196</t>
  </si>
  <si>
    <t>ORD-2025-10225</t>
  </si>
  <si>
    <t>ORD-2024-10127</t>
  </si>
  <si>
    <t>ORD-2024-10110</t>
  </si>
  <si>
    <t>ORD-2025-10248</t>
  </si>
  <si>
    <t>ORD-2025-10235</t>
  </si>
  <si>
    <t>ORD-2025-10203</t>
  </si>
  <si>
    <t>ORD-2024-10079</t>
  </si>
  <si>
    <t>ORD-2025-10148</t>
  </si>
  <si>
    <t>Filing Cabinet 3-Drawer</t>
  </si>
  <si>
    <t>ORD-2024-10060</t>
  </si>
  <si>
    <t>ORD-2024-10119</t>
  </si>
  <si>
    <t>ORD-2024-10007</t>
  </si>
  <si>
    <t>ORD-2025-10183</t>
  </si>
  <si>
    <t>ORD-2024-10031</t>
  </si>
  <si>
    <t>ORD-2024-10023</t>
  </si>
  <si>
    <t>Central</t>
  </si>
  <si>
    <t>ORD-2025-10263</t>
  </si>
  <si>
    <t>ORD-2024-10057</t>
  </si>
  <si>
    <t>ORD-2025-10149</t>
  </si>
  <si>
    <t>ORD-2024-10141</t>
  </si>
  <si>
    <t>ORD-2025-10209</t>
  </si>
  <si>
    <t>Standing Desk Frame</t>
  </si>
  <si>
    <t>ORD-2025-10278</t>
  </si>
  <si>
    <t>ORD-2025-10204</t>
  </si>
  <si>
    <t>ORD-2025-10145</t>
  </si>
  <si>
    <t>ORD-2025-10168</t>
  </si>
  <si>
    <t>ORD-2024-10091</t>
  </si>
  <si>
    <t>ORD-2025-10224</t>
  </si>
  <si>
    <t>ORD-2024-10067</t>
  </si>
  <si>
    <t>ORD-2024-10117</t>
  </si>
  <si>
    <t>ORD-2025-10173</t>
  </si>
  <si>
    <t>ORD-2025-10251</t>
  </si>
  <si>
    <t>ORD-2024-10020</t>
  </si>
  <si>
    <t>ORD-2025-10147</t>
  </si>
  <si>
    <t>ORD-2025-10299</t>
  </si>
  <si>
    <t>ORD-2025-10288</t>
  </si>
  <si>
    <t>ORD-2024-10073</t>
  </si>
  <si>
    <t>ORD-2024-10016</t>
  </si>
  <si>
    <t>ORD-2024-10011</t>
  </si>
  <si>
    <t>ORD-2025-10274</t>
  </si>
  <si>
    <t>ORD-2025-10239</t>
  </si>
  <si>
    <t>ORD-2024-10098</t>
  </si>
  <si>
    <t>ORD-2024-10069</t>
  </si>
  <si>
    <t>ORD-2025-10241</t>
  </si>
  <si>
    <t>ORD-2024-10038</t>
  </si>
  <si>
    <t>ORD-2024-10017</t>
  </si>
  <si>
    <t>ORD-2025-10155</t>
  </si>
  <si>
    <t>ORD-2025-10279</t>
  </si>
  <si>
    <t>ORD-2024-10068</t>
  </si>
  <si>
    <t>ORD-2024-10112</t>
  </si>
  <si>
    <t>ORD-2024-10070</t>
  </si>
  <si>
    <t>ORD-2024-10032</t>
  </si>
  <si>
    <t>ORD-2025-10184</t>
  </si>
  <si>
    <t>ORD-2025-10158</t>
  </si>
  <si>
    <t>ORD-2025-10238</t>
  </si>
  <si>
    <t>ORD-2024-10125</t>
  </si>
  <si>
    <t>ORD-2024-10019</t>
  </si>
  <si>
    <t>ORD-2025-10259</t>
  </si>
  <si>
    <t>ORD-2024-10097</t>
  </si>
  <si>
    <t>ORD-2024-10140</t>
  </si>
  <si>
    <t>ORD-2024-10133</t>
  </si>
  <si>
    <t>ORD-2024-10087</t>
  </si>
  <si>
    <t>ORD-2025-10261</t>
  </si>
  <si>
    <t>ORD-2025-10153</t>
  </si>
  <si>
    <t>ORD-2024-10126</t>
  </si>
  <si>
    <t>ORD-2025-10262</t>
  </si>
  <si>
    <t>ORD-2025-10205</t>
  </si>
  <si>
    <t>ORD-2025-10295</t>
  </si>
  <si>
    <t>ORD-2025-10176</t>
  </si>
  <si>
    <t>ORD-2025-10194</t>
  </si>
  <si>
    <t>ORD-2025-10219</t>
  </si>
  <si>
    <t>ORD-2025-10293</t>
  </si>
  <si>
    <t>ORD-2024-10130</t>
  </si>
  <si>
    <t>ORD-2024-10039</t>
  </si>
  <si>
    <t>ORD-2025-10178</t>
  </si>
  <si>
    <t>ORD-2025-10144</t>
  </si>
  <si>
    <t>ORD-2024-10113</t>
  </si>
  <si>
    <t>ORD-2025-10177</t>
  </si>
  <si>
    <t>ORD-2024-10118</t>
  </si>
  <si>
    <t>ORD-2025-10286</t>
  </si>
  <si>
    <t>ORD-2025-10280</t>
  </si>
  <si>
    <t>ORD-2025-10246</t>
  </si>
  <si>
    <t>Desk Lamp LED</t>
  </si>
  <si>
    <t>ORD-2025-10186</t>
  </si>
  <si>
    <t>ORD-2025-10234</t>
  </si>
  <si>
    <t>ORD-2024-10003</t>
  </si>
  <si>
    <t>ORD-2024-10116</t>
  </si>
  <si>
    <t>ORD-2025-10195</t>
  </si>
  <si>
    <t>ORD-2025-10187</t>
  </si>
  <si>
    <t>ORD-2024-10121</t>
  </si>
  <si>
    <t>ORD-2025-10223</t>
  </si>
  <si>
    <t>ORD-2025-10268</t>
  </si>
  <si>
    <t>ORD-2024-10128</t>
  </si>
  <si>
    <t>ORD-2024-10075</t>
  </si>
  <si>
    <t>ORD-2024-10030</t>
  </si>
  <si>
    <t>ORD-2024-10084</t>
  </si>
  <si>
    <t>ORD-2025-10257</t>
  </si>
  <si>
    <t>ORD-2024-10108</t>
  </si>
  <si>
    <t>ORD-2025-10291</t>
  </si>
  <si>
    <t>ORD-2025-10166</t>
  </si>
  <si>
    <t>ORD-2024-10134</t>
  </si>
  <si>
    <t>ORD-2025-10283</t>
  </si>
  <si>
    <t>ORD-2025-10229</t>
  </si>
  <si>
    <t>ORD-2024-10066</t>
  </si>
  <si>
    <t>ORD-2025-10210</t>
  </si>
  <si>
    <t>ORD-2024-10086</t>
  </si>
  <si>
    <t>ORD-2025-10226</t>
  </si>
  <si>
    <t>ORD-2024-10013</t>
  </si>
  <si>
    <t>ORD-2024-10036</t>
  </si>
  <si>
    <t>ORD-2024-10029</t>
  </si>
  <si>
    <t>ORD-2025-10171</t>
  </si>
  <si>
    <t>ORD-2025-10143</t>
  </si>
  <si>
    <t>ORD-2025-10255</t>
  </si>
  <si>
    <t>ORD-2024-10132</t>
  </si>
  <si>
    <t>ORD-2025-10181</t>
  </si>
  <si>
    <t>ORD-2024-10052</t>
  </si>
  <si>
    <t>ORD-2024-10096</t>
  </si>
  <si>
    <t>ORD-2025-10179</t>
  </si>
  <si>
    <t>ORD-2025-10233</t>
  </si>
  <si>
    <t>ORD-2024-10042</t>
  </si>
  <si>
    <t>ORD-2024-10090</t>
  </si>
  <si>
    <t>ORD-2025-10230</t>
  </si>
  <si>
    <t>ORD-2024-10137</t>
  </si>
  <si>
    <t>ORD-2024-10142</t>
  </si>
  <si>
    <t>ORD-2025-10212</t>
  </si>
  <si>
    <t>ORD-2024-10001</t>
  </si>
  <si>
    <t>ORD-2025-10292</t>
  </si>
  <si>
    <t>ORD-2025-10281</t>
  </si>
  <si>
    <t>ORD-2024-10101</t>
  </si>
  <si>
    <t>ORD-2025-10193</t>
  </si>
  <si>
    <t>ORD-2025-10266</t>
  </si>
  <si>
    <t>ORD-2024-10104</t>
  </si>
  <si>
    <t>ORD-2025-10172</t>
  </si>
  <si>
    <t>ORD-2024-10099</t>
  </si>
  <si>
    <t>ORD-2024-10037</t>
  </si>
  <si>
    <t>ORD-2024-10062</t>
  </si>
  <si>
    <t>ORD-2025-10151</t>
  </si>
  <si>
    <t>ORD-2025-10250</t>
  </si>
  <si>
    <t>ORD-2025-10214</t>
  </si>
  <si>
    <t>ORD-2025-10256</t>
  </si>
  <si>
    <t>ORD-2024-10012</t>
  </si>
  <si>
    <t>ORD-2025-10201</t>
  </si>
  <si>
    <t>ORD-2025-10276</t>
  </si>
  <si>
    <t>ORD-2024-10028</t>
  </si>
  <si>
    <t>ORD-2025-10232</t>
  </si>
  <si>
    <t>ORD-2024-10005</t>
  </si>
  <si>
    <t>ORD-2024-10123</t>
  </si>
  <si>
    <t>ORD-2024-10033</t>
  </si>
  <si>
    <t>ORD-2025-10221</t>
  </si>
  <si>
    <t>ORD-2025-10163</t>
  </si>
  <si>
    <t>ORD-2025-10222</t>
  </si>
  <si>
    <t>ORD-2025-10267</t>
  </si>
  <si>
    <t>ORD-2024-10139</t>
  </si>
  <si>
    <t>ORD-2024-10063</t>
  </si>
  <si>
    <t>ORD-2025-10216</t>
  </si>
  <si>
    <t>ORD-2024-10136</t>
  </si>
  <si>
    <t>ORD-2024-10129</t>
  </si>
  <si>
    <t>ORD-2025-10300</t>
  </si>
  <si>
    <t>ORD-2024-10009</t>
  </si>
  <si>
    <t>ORD-2024-10071</t>
  </si>
  <si>
    <t>ORD-2025-10273</t>
  </si>
  <si>
    <t>ORD-2024-10065</t>
  </si>
  <si>
    <t>ORD-2024-10045</t>
  </si>
  <si>
    <t>ORD-2025-10249</t>
  </si>
  <si>
    <t>ORD-2025-10157</t>
  </si>
  <si>
    <t>ORD-2024-10041</t>
  </si>
  <si>
    <t>ORD-2024-10124</t>
  </si>
  <si>
    <t>ORD-2025-10284</t>
  </si>
  <si>
    <t>ORD-2025-10154</t>
  </si>
  <si>
    <t>ORD-2024-10024</t>
  </si>
  <si>
    <t>ORD-2025-10269</t>
  </si>
  <si>
    <t>ORD-2024-10111</t>
  </si>
  <si>
    <t>ORD-2024-10082</t>
  </si>
  <si>
    <t>ORD-2025-10237</t>
  </si>
  <si>
    <t>ORD-2025-10208</t>
  </si>
  <si>
    <t>ORD-2025-10213</t>
  </si>
  <si>
    <t>ORD-2024-10040</t>
  </si>
  <si>
    <t>ORD-2025-10254</t>
  </si>
  <si>
    <t>ORD-2025-10270</t>
  </si>
  <si>
    <t>ORD-2025-10200</t>
  </si>
  <si>
    <t>ORD-2024-10015</t>
  </si>
  <si>
    <t>ORD-2024-10048</t>
  </si>
  <si>
    <t>ORD-2024-10095</t>
  </si>
  <si>
    <t>ORD-2025-10272</t>
  </si>
  <si>
    <t>ORD-2025-10228</t>
  </si>
  <si>
    <t>ORD-2025-10282</t>
  </si>
  <si>
    <t>ORD-2025-10202</t>
  </si>
  <si>
    <t>ORD-2025-10162</t>
  </si>
  <si>
    <t>ORD-2024-10044</t>
  </si>
  <si>
    <t>ORD-2025-10218</t>
  </si>
  <si>
    <t>ORD-2025-10191</t>
  </si>
  <si>
    <t>ORD-2024-10106</t>
  </si>
  <si>
    <t>ORD-2024-10002</t>
  </si>
  <si>
    <t>ORD-2024-10050</t>
  </si>
  <si>
    <t>ORD-2024-10081</t>
  </si>
  <si>
    <t>ORD-2025-10206</t>
  </si>
  <si>
    <t>ORD-2024-10035</t>
  </si>
  <si>
    <t>ORD-2025-10264</t>
  </si>
  <si>
    <t>ORD-2024-10092</t>
  </si>
  <si>
    <t>ORD-2024-10053</t>
  </si>
  <si>
    <t>ORD-2025-10265</t>
  </si>
  <si>
    <t>ORD-2025-10242</t>
  </si>
  <si>
    <t>ORD-2024-10089</t>
  </si>
  <si>
    <t>ORD-2025-10167</t>
  </si>
  <si>
    <t>ORD-2024-10135</t>
  </si>
  <si>
    <t>ORD-2025-10297</t>
  </si>
  <si>
    <t>ORD-2025-10244</t>
  </si>
  <si>
    <t>ORD-2024-10055</t>
  </si>
  <si>
    <t>ORD-2024-10051</t>
  </si>
  <si>
    <t>ORD-2025-10175</t>
  </si>
  <si>
    <t>ORD-2025-10190</t>
  </si>
  <si>
    <t>ORD-2025-10188</t>
  </si>
  <si>
    <t>ORD-2025-10170</t>
  </si>
  <si>
    <t>ORD-2024-10049</t>
  </si>
  <si>
    <t>ORD-2025-10236</t>
  </si>
  <si>
    <t>ORD-2025-10253</t>
  </si>
  <si>
    <t>ORD-2024-10022</t>
  </si>
  <si>
    <t>ORD-2025-10161</t>
  </si>
  <si>
    <t>ORD-2025-10277</t>
  </si>
  <si>
    <t>ORD-2025-10192</t>
  </si>
  <si>
    <t>ORD-2025-10258</t>
  </si>
  <si>
    <t>ORD-2025-10150</t>
  </si>
  <si>
    <t>ORD-2024-10131</t>
  </si>
  <si>
    <t>ORD-2025-10152</t>
  </si>
  <si>
    <t>ORD-2024-10100</t>
  </si>
  <si>
    <t>ORD-2024-10088</t>
  </si>
  <si>
    <t>ORD-2025-10215</t>
  </si>
  <si>
    <t>ORD-2024-10122</t>
  </si>
  <si>
    <t>ORD-2024-10021</t>
  </si>
  <si>
    <t>ORD-2025-10189</t>
  </si>
  <si>
    <t>ORD-2024-10072</t>
  </si>
  <si>
    <t>ORD-2024-10107</t>
  </si>
  <si>
    <t>ORD-2025-10271</t>
  </si>
  <si>
    <t>ORD-2024-10103</t>
  </si>
  <si>
    <t>Order ID,Order Date,Region,Category,Sub-Category,Product Name,Sales,Quantity,Discount,Profit</t>
  </si>
  <si>
    <t>ORD-2025-10289,2025-12-02,West,Furniture ,Chairs,Ergonomic Mesh Chair,1298.71,10,0.15,-99.29</t>
  </si>
  <si>
    <t>ORD-2024-10010,01-21-2024,central,Office Supplies ,Storage,Desktop Organizer Box,172.45,4,0.15,9.58</t>
  </si>
  <si>
    <t>ORD-2024-10058,23/05/2024,CENTRAL,Technology,Accessories,Business Router Max,739.33,6,0.3,-9.55</t>
  </si>
  <si>
    <t>,,,,,,,,,</t>
  </si>
  <si>
    <t>ORD-2024-10061,2024-05-30,WEST,Office Supplies,Paper,Gel Pens 12-Pack,$44.10,4,0.3,-7.14</t>
  </si>
  <si>
    <t>ORD-2024-10026,05/03/2024,EAST,Furniture,Tables,Executive Leather Chair,"$1,034.93",6,0.4,-418.13</t>
  </si>
  <si>
    <t>ORD-2024-10064,06-05-2024,West,OFFICE SUPPLIES,Storage,Heavy Duty Binder,153.5,7,0.2,-1.67</t>
  </si>
  <si>
    <t>ORD-2024-10093,2024-08-18,central,Technology,Accessories,Dual Screen Monitor,9796.31,10,0.05,2958.9</t>
  </si>
  <si>
    <t>ORD-2025-10185,06/04/2025,South,Office Supplies,Appliances,Heavy Duty Binder,115.42,3,0.05,21.25</t>
  </si>
  <si>
    <t>ORD-2025-10245,04/09/2025,East ,TECHNOLOGY,Accessories,Mechanical Keyboard,5316.3,9,0.05,1731.74</t>
  </si>
  <si>
    <t>ORD-2024-10047,05-01-2024,South ,Office Supplies ,Storage,Copy Paper 500 Sheets,544.27,6,0.15,18.4</t>
  </si>
  <si>
    <t>ORD-2024-10076,07-10-2024,WEST,Technology ,Accessories,Smartphone X1,1902.77,2,0.3,-68.97</t>
  </si>
  <si>
    <t>ORD-2025-10164,07/02/2025,west,Technology,Machines,Mechanical Keyboard,118.88,1,0.4,-17.44</t>
  </si>
  <si>
    <t>ORD-2025-10296,12-26-2025,WEST,TECHNOLOGY,Machines,Business Router Max,"$1,232.04",3,0.2,156.9</t>
  </si>
  <si>
    <t>ORD-2025-10159,2025-02-01,west,Technology,Accessories,Dual Screen Monitor,2378.28,5,0.4,-403.8</t>
  </si>
  <si>
    <t>ORD-2025-10285,11-29-2025,West,Office Supplies ,Storage,Desktop Organizer Box,111.26,4,0.2,</t>
  </si>
  <si>
    <t>ORD-2025-10290,03/12/2025,East ,technology,Machines,Smartphone X1,5147.99,9,0.15,942.99</t>
  </si>
  <si>
    <t>ORD-2024-10006,14/01/2024,EAST,Office Supplies,Binders,Stapler Executive Pro,877.37,10,0.15,52.45</t>
  </si>
  <si>
    <t>ORD-2025-10156,24/01/2025,SOUTH,OFFICE SUPPLIES,Storage,Heavy Duty Binder,12.8,1,0.15,0.54</t>
  </si>
  <si>
    <t>ORD-2025-10165,02-10-2025,CENTRAL,Office Supplies ,Storage,Gel Pens 12-Pack,414.61,6,0.1,49.95</t>
  </si>
  <si>
    <t>ORD-2025-10169,02-18-2025,WEST,FURNITURE,Bookcases,Wooden Bookcase 5-Shelf,1815.8,8,0.15,-131.9</t>
  </si>
  <si>
    <t>ORD-2024-10074,08/07/2024,East ,Technology ,Accessories,HD Web Camera,950.21,2,0.4,-155.29</t>
  </si>
  <si>
    <t>ORD-2024-10105,09-09-2024,east,TECHNOLOGY,Accessories,Workstation PC Pro,5037.37,6,0.15,970.77</t>
  </si>
  <si>
    <t>ORD-2024-10138,12-11-2024,West,Office Supplies,Paper,Office Microwave,$264.06,5,0.4,-72.55</t>
  </si>
  <si>
    <t>ORD-2025-10207,05-19-2025,East,Office Supplies ,Paper,Desktop Organizer Box,92.99,1,0.0,22.4</t>
  </si>
  <si>
    <t>ORD-2024-10077,16/07/2024,West ,Office Supplies ,Appliances,File Folders 100-Pack,77.64,4,0.0,19.27</t>
  </si>
  <si>
    <t>ORD-2025-10174,03-03-2025,WEST,Furniture,Furnishings,Ergonomic Mesh Chair,3619.51,9,0.2,-482.81</t>
  </si>
  <si>
    <t>ORD-2024-10114,2024-09-30,East ,technology,Accessories,Mechanical Keyboard,991.59,3,0.15,156.74</t>
  </si>
  <si>
    <t>ORD-2024-10034,08/04/2024,Central ,FURNITURE,Furnishings,Wooden Bookcase 5-Shelf,$899.36,4,0.0,105.88</t>
  </si>
  <si>
    <t>ORD-2025-10275,2025-11-05,West ,FURNITURE,Chairs,Executive Leather Chair,4346.86,8,0.1,21.1</t>
  </si>
  <si>
    <t>ORD-2025-10252,09-19-2025,Central ,Office Supplies ,Paper,Whiteboard Markers 8-Pack,481.68,10,0.4,-148.11</t>
  </si>
  <si>
    <t>ORD-2024-10109,19/09/2024,East ,TECHNOLOGY,Accessories,Mechanical Keyboard,3049.78,6,0.4,-481.44</t>
  </si>
  <si>
    <t>ORD-2024-10004,01-05-2024,WEST,Office Supplies ,Appliances,Office Microwave,117.61,1,0.05,22.4</t>
  </si>
  <si>
    <t>ORD-2024-10083,2024-07-25,West ,OFFICE SUPPLIES,Paper,Copy Paper 500 Sheets,208.62,6,0.5,-88.95</t>
  </si>
  <si>
    <t>ORD-2025-10260,10-04-2025,CENTRAL,Office Supplies ,Binders,File Folders 100-Pack,,4,0.0,14.73</t>
  </si>
  <si>
    <t>ORD-2024-10094,08-18-2024,west,Office Supplies ,Pens &amp; Art,Copy Paper 500 Sheets,216.12,4,0.4,-60.95</t>
  </si>
  <si>
    <t>ORD-2024-10102,08-31-2024,West,Office Supplies ,Pens &amp; Art,Whiteboard Markers 8-Pack,1071.34,10,0.15,43.27</t>
  </si>
  <si>
    <t>ORD-2024-10046,29/04/2024,WEST,office supplies,Appliances,Copy Paper 500 Sheets,45.14,4,0.5,-19.61</t>
  </si>
  <si>
    <t>ORD-2024-10018,02-10-2024,EAST,TECHNOLOGY,Machines,Mechanical Keyboard,1169.63,1,0.0,452.96</t>
  </si>
  <si>
    <t>ORD-2025-10198,04-29-2025,south,TECHNOLOGY,Phones,Wireless Headset Pro,"$3,439.78",6,0.05,1082.69</t>
  </si>
  <si>
    <t>ORD-2024-10120,22/10/2024,East ,Technology,Accessories,Wireless Headset Pro,4636.67,7,0.1,1187.12</t>
  </si>
  <si>
    <t>ORD-2024-10043,2024-04-22,WEST,Furniture,Chairs,Conference Table 8ft,1862.5,10,0.5,-1047.37</t>
  </si>
  <si>
    <t>ORD-2024-10025,03/03/2024,West ,Office Supplies ,Pens &amp; Art,Desktop Organizer Box,342.65,10,0.3,-46.75</t>
  </si>
  <si>
    <t>ORD-2025-10180,03-31-2025,East,FURNITURE,Tables,Lounge Sofa Seat,$995.97,4,0.2,-165.36</t>
  </si>
  <si>
    <t>ORD-2025-10243,09-01-2025,West,OFFICE SUPPLIES,Appliances,Desktop Organizer Box,79.52,1,0.4,-21.87</t>
  </si>
  <si>
    <t>ORD-2025-10298,12-28-2025,South,Furniture,Bookcases,Lounge Sofa Seat,322.18,7,0.5,-179.36</t>
  </si>
  <si>
    <t>ORD-2025-10197,2025-04-29,WEST,Office Supplies,Storage,Stapler Executive Pro,1148.96,8,0.0,268.45</t>
  </si>
  <si>
    <t>ORD-2025-10227,07-17-2025,West ,OFFICE SUPPLIES,Binders,File Folders 100-Pack,160.38,6,0.0,40.12</t>
  </si>
  <si>
    <t>ORD-2024-10008,2024-01-15,west,office supplies,Appliances,Stapler Executive Pro,183.78,2,0.0,47.13</t>
  </si>
  <si>
    <t>ORD-2025-10287,2025-11-30,west,Technology ,Copiers,Laser Copier 3000,5039.2,10,0.5,-1568.52</t>
  </si>
  <si>
    <t>ORD-2024-10078,19/07/2024,SOUTH,Office Supplies,Pens &amp; Art,Stapler Executive Pro,$458.00,8,0.5,-195.99</t>
  </si>
  <si>
    <t>ORD-2024-10115,03/10/2024,EAST,Furniture,Tables,Executive Leather Chair,$51.84,1,0.5,-29.2</t>
  </si>
  <si>
    <t>ORD-2025-10240,2025-08-23,EAST,Office Supplies ,Pens &amp; Art,Gel Pens 12-Pack,206.22,5,0.4,-56.47</t>
  </si>
  <si>
    <t>ORD-2025-10146,11/01/2025,South ,OFFICE SUPPLIES,Appliances,File Folders 100-Pack,$420.72,8,0.5,-179.07</t>
  </si>
  <si>
    <t>ORD-2024-10085,02/08/2024,WEST,Furniture,Furnishings,Lounge Sofa Seat,529.53,6,0.15,-38.32</t>
  </si>
  <si>
    <t>ORD-2025-10182,04-03-2025,west,TECHNOLOGY,Machines,Wireless Headset Pro,10573.8,10,0.0,3827.96</t>
  </si>
  <si>
    <t>ORD-2025-10231,19/07/2025,WEST,Office Supplies,Appliances,Whiteboard Markers 8-Pack,$489.92,10,0.05,86.14</t>
  </si>
  <si>
    <t>ORD-2024-10014,02-02-2024,EAST,OFFICE SUPPLIES,Pens &amp; Art,Whiteboard Markers 8-Pack,815.63,8,0.05,141.18</t>
  </si>
  <si>
    <t>ORD-2025-10199,05-03-2025,South,Technology,Copiers,Wireless Headset Pro,4069.45,7,0.0,1622.64</t>
  </si>
  <si>
    <t>ORD-2025-10196,2025-04-21,West,technology,Machines,Business Router Max,"$1,173.58",2,0.2,125.66</t>
  </si>
  <si>
    <t>ORD-2025-10211,2025-05-24,central,Technology,Copiers,Dual Screen Monitor,4061.81,5,0.15,</t>
  </si>
  <si>
    <t>ORD-2025-10225,07-15-2025,east,TECHNOLOGY,Phones,Business Router Max,5722.65,9,0.0,2163.1</t>
  </si>
  <si>
    <t>ORD-2024-10127,11-21-2024,South ,OFFICE SUPPLIES,Storage,Desktop Organizer Box,45.54,3,0.15,2.34</t>
  </si>
  <si>
    <t>ORD-2024-10110,2024-09-24,West,office supplies,Storage,Whiteboard Markers 8-Pack,1076.69,9,0.2,-27.92</t>
  </si>
  <si>
    <t>ORD-2025-10248,11/09/2025,EAST,office supplies,Storage,Copy Paper 500 Sheets,583.17,6,0.05,97.97</t>
  </si>
  <si>
    <t>ORD-2025-10235,07-27-2025,west,office supplies,Storage,Office Microwave,119.33,4,0.2,-0.25</t>
  </si>
  <si>
    <t>ORD-2025-10203,2025-05-11,east,Office Supplies,Storage,Heavy Duty Binder,119.4,5,0.2,-3.1</t>
  </si>
  <si>
    <t>ORD-2024-10079,07-19-2024,South,Office Supplies ,Appliances,File Folders 100-Pack,521.71,8,0.4,-156.32</t>
  </si>
  <si>
    <t>ORD-2025-10148,14/01/2025,East,Furniture,Tables,Filing Cabinet 3-Drawer,"$1,410.15",7,0.0,158.96</t>
  </si>
  <si>
    <t>ORD-2024-10060,05-27-2024,west,Office Supplies ,Pens &amp; Art,Gel Pens 12-Pack,$255.62,8,0.2,-7.1</t>
  </si>
  <si>
    <t>ORD-2024-10119,20/10/2024,WEST,Technology,Phones,Laser Copier 3000,3258.22,10,0.15,524.27</t>
  </si>
  <si>
    <t>ORD-2024-10007,01-15-2024,west,FURNITURE,Furnishings,Conference Table 8ft,5127.71,7,0.0,626.0</t>
  </si>
  <si>
    <t>ORD-2025-10183,04/04/2025,west,Office Supplies ,Storage,Gel Pens 12-Pack,1336.14,10,0.1,130.6</t>
  </si>
  <si>
    <t>ORD-2024-10031,2024-03-28,East,Technology,Machines,Business Router Max,$489.90,2,0.3,-15.1</t>
  </si>
  <si>
    <t>ORD-2024-10023,02-23-2024,Central,furniture,Bookcases,Executive Leather Chair,818.08,4,0.0,84.61</t>
  </si>
  <si>
    <t>ORD-2025-10263,2025-10-09,West ,Office Supplies,Binders,Stapler Executive Pro,$210.29,6,0.3,-29.32</t>
  </si>
  <si>
    <t>ORD-2024-10057,23/05/2024,West ,office supplies,Appliances,Whiteboard Markers 8-Pack,395.28,3,0.1,51.22</t>
  </si>
  <si>
    <t>ORD-2025-10149,2025-01-19,central,office supplies,Pens &amp; Art,Whiteboard Markers 8-Pack,94.45,3,0.4,-25.63</t>
  </si>
  <si>
    <t>ORD-2024-10141,14/12/2024,East,Office Supplies,Binders,File Folders 100-Pack,205.52,3,0.4,-56.04</t>
  </si>
  <si>
    <t>ORD-2025-10209,05-23-2025,WEST,Furniture,Chairs,Standing Desk Frame,"$1,138.32",5,0.4,-476.87</t>
  </si>
  <si>
    <t>ORD-2025-10278,11-12-2025,SOUTH,Office Supplies ,Appliances,Office Microwave,307.94,3,0.05,59.82</t>
  </si>
  <si>
    <t>ORD-2025-10204,05-13-2025,EAST,Furniture ,Tables,Wooden Bookcase 5-Shelf,"$2,621.43",7,0.0,277.02</t>
  </si>
  <si>
    <t>ORD-2025-10145,2025-01-08,South,Office Supplies,Appliances,Office Microwave,426.11,5,0.15,25.99</t>
  </si>
  <si>
    <t>ORD-2025-10168,2025-02-17,WEST,office supplies,Pens &amp; Art,Desktop Organizer Box,288.79,9,0.2,-5.42</t>
  </si>
  <si>
    <t>ORD-2024-10091,12/08/2024,WEST,Technology ,Machines,Mechanical Keyboard,10266.56,8,0.0,4003.56</t>
  </si>
  <si>
    <t>ORD-2025-10224,14/07/2025,SOUTH,furniture,Furnishings,Lounge Sofa Seat,507.76,6,0.15,-50.49</t>
  </si>
  <si>
    <t>ORD-2024-10067,2024-06-09,WEST,Office Supplies,Appliances,Gel Pens 12-Pack,100.13,2,0.2,-1.51</t>
  </si>
  <si>
    <t>ORD-2024-10117,2024-10-09,East ,OFFICE SUPPLIES,Pens &amp; Art,Stapler Executive Pro,25.74,1,0.15,1.68</t>
  </si>
  <si>
    <t>ORD-2025-10173,02-25-2025,South,Office Supplies,Storage,Whiteboard Markers 8-Pack,602.82,6,0.0,154.92</t>
  </si>
  <si>
    <t>ORD-2025-10251,2025-09-16,SOUTH,Furniture,Furnishings,Conference Table 8ft,1644.27,4,0.15,-160.52</t>
  </si>
  <si>
    <t>ORD-2024-10020,2024-02-17,East ,OFFICE SUPPLIES,Storage,Desktop Organizer Box,111.93,2,0.15,6.85</t>
  </si>
  <si>
    <t>ORD-2025-10147,01-13-2025,South,Technology ,Copiers,Business Router Max,3391.79,6,0.1,896.22</t>
  </si>
  <si>
    <t>ORD-2024-10080,07-20-2024,South,Office Supplies,Paper,Office Microwave,508.9,9,,-145.0</t>
  </si>
  <si>
    <t>ORD-2025-10299,2025-12-30,west,Technology,Accessories,Dual Screen Monitor,953.14,1,0.0,353.86</t>
  </si>
  <si>
    <t>ORD-2025-10288,2025-12-01,west,Furniture ,Tables,Wooden Bookcase 5-Shelf,1690.24,10,0.2,-230.38</t>
  </si>
  <si>
    <t>ORD-2024-10073,06/07/2024,East,Technology ,Accessories,Mechanical Keyboard,1466.31,4,0.05,430.33</t>
  </si>
  <si>
    <t>ORD-2024-10016,2024-02-05,EAST,Technology ,Accessories,HD Web Camera,245.45,1,0.0,89.86</t>
  </si>
  <si>
    <t>ORD-2024-10011,01-22-2024,west,office supplies,Binders,Desktop Organizer Box,326.57,4,0.05,59.11</t>
  </si>
  <si>
    <t>ORD-2025-10274,11-03-2025,CENTRAL,Furniture,Tables,Conference Table 8ft,$168.25,3,0.4,-70.55</t>
  </si>
  <si>
    <t>ORD-2025-10239,08-15-2025,central,technology,Phones,Business Router Max,"$1,278.02",4,0.4,-198.83</t>
  </si>
  <si>
    <t>ORD-2024-10098,21/08/2024,West,TECHNOLOGY,Copiers,Wireless Headset Pro,12325.5,10,0.0,4608.36</t>
  </si>
  <si>
    <t>ORD-2024-10069,06-15-2024,west,FURNITURE,Bookcases,Wooden Bookcase 5-Shelf,1494.25,7,0.05,85.35</t>
  </si>
  <si>
    <t>ORD-2025-10241,08-30-2025,west,Office Supplies,Paper,Stapler Executive Pro,$634.62,10,0.4,-185.01</t>
  </si>
  <si>
    <t>ORD-2024-10038,04-12-2024,east,Office Supplies ,Pens &amp; Art,Office Microwave,305.26,9,0.4,-92.74</t>
  </si>
  <si>
    <t>ORD-2024-10017,2024-02-06,South,Technology,Accessories,Business Router Max,3803.53,7,0.3,-80.5</t>
  </si>
  <si>
    <t>ORD-2024-10056,05-18-2024,South ,office supplies,Binders,Stapler Executive Pro,$132.44,4,0.0,</t>
  </si>
  <si>
    <t>ORD-2025-10155,22/01/2025,EAST,technology,Machines,Wireless Headset Pro,1138.07,2,0.4,-197.28</t>
  </si>
  <si>
    <t>ORD-2025-10279,11-14-2025,West ,technology,Accessories,Wireless Headset Pro,3997.32,3,0.1,1025.77</t>
  </si>
  <si>
    <t>ORD-2024-10068,06-10-2024,West ,furniture,Chairs,Executive Leather Chair,"$2,405.93",7,0.2,-370.28</t>
  </si>
  <si>
    <t>ORD-2024-10112,27/09/2024,West,OFFICE SUPPLIES,Storage,Copy Paper 500 Sheets,309.56,3,0.1,32.09</t>
  </si>
  <si>
    <t>ORD-2024-10070,06-19-2024,WEST,Technology ,Copiers,Business Router Max,770.67,1,0.15,130.23</t>
  </si>
  <si>
    <t>ORD-2024-10032,2024-04-01,west,technology,Machines,HD Web Camera,1321.29,1,0.0,478.87</t>
  </si>
  <si>
    <t>ORD-2025-10184,05/04/2025,east,Office Supplies,Appliances,Gel Pens 12-Pack,238.4,4,0.2,-2.15</t>
  </si>
  <si>
    <t>ORD-2025-10158,01-27-2025,west,FURNITURE,Chairs,Filing Cabinet 3-Drawer,1206.74,4,0.4,-486.9</t>
  </si>
  <si>
    <t>ORD-2025-10238,2025-08-09,West,technology,Accessories,Laser Copier 3000,4036.17,10,0.05,1297.01</t>
  </si>
  <si>
    <t>ORD-2024-10125,11/11/2024,west,Furniture,Bookcases,Executive Leather Chair,4455.52,8,0.0,568.06</t>
  </si>
  <si>
    <t>ORD-2024-10019,02-10-2024,South,TECHNOLOGY,Copiers,Workstation PC Pro,1776.41,7,0.05,551.84</t>
  </si>
  <si>
    <t>ORD-2025-10259,03/10/2025,east,Technology,Accessories,HD Web Camera,8966.94,8,0.05,2913.9</t>
  </si>
  <si>
    <t>ORD-2024-10097,2024-08-20,CENTRAL,Furniture,Tables,Conference Table 8ft,1551.56,4,0.0,198.43</t>
  </si>
  <si>
    <t>ORD-2024-10140,2024-12-13,South ,Office Supplies,Storage,Heavy Duty Binder,127.35,2,0.1,17.15</t>
  </si>
  <si>
    <t>ORD-2024-10133,05/12/2024,east,TECHNOLOGY,Machines,Wireless Headset Pro,3603.66,7,0.2,370.61</t>
  </si>
  <si>
    <t>ORD-2024-10087,05/08/2024,West,Furniture ,Furnishings,Standing Desk Frame,3556.22,7,0.05,235.14</t>
  </si>
  <si>
    <t>ORD-2025-10261,2025-10-07,South ,Office Supplies,Binders,Stapler Executive Pro,709.82,9,0.3,-96.13</t>
  </si>
  <si>
    <t>ORD-2025-10153,01-21-2025,Central ,Furniture ,Furnishings,Standing Desk Frame,1623.76,8,0.5,-931.33</t>
  </si>
  <si>
    <t>ORD-2024-10126,11-13-2024,west,OFFICE SUPPLIES,Storage,Gel Pens 12-Pack,$574.78,9,0.1,69.49</t>
  </si>
  <si>
    <t>ORD-2025-10262,08/10/2025,EAST,OFFICE SUPPLIES,Appliances,File Folders 100-Pack,128.72,4,0.15,5.38</t>
  </si>
  <si>
    <t>ORD-2025-10205,17/05/2025,WEST,TECHNOLOGY,Phones,Wireless Headset Pro,3266.96,4,0.3,-92.15</t>
  </si>
  <si>
    <t>ORD-2025-10295,2025-12-25,West ,Technology,Phones,Mechanical Keyboard,2332.77,3,0.0,844.52</t>
  </si>
  <si>
    <t>ORD-2025-10176,2025-03-14,south,Office Supplies ,Binders,Desktop Organizer Box,$12.74,1,0.15,0.86</t>
  </si>
  <si>
    <t>ORD-2025-10194,19/04/2025,WEST,Office Supplies,Appliances,Whiteboard Markers 8-Pack,26.14,2,0.5,-10.88</t>
  </si>
  <si>
    <t>ORD-2025-10219,2025-07-04,Central,furniture,Bookcases,Standing Desk Frame,1237.25,3,0.1,-38.22</t>
  </si>
  <si>
    <t>ORD-2025-10293,12-11-2025,West ,OFFICE SUPPLIES,Appliances,Desktop Organizer Box,266.3,6,0.2,-0.26</t>
  </si>
  <si>
    <t>ORD-2024-10130,12-03-2024,central,TECHNOLOGY,Copiers,Mechanical Keyboard,708.64,4,0.0,283.44</t>
  </si>
  <si>
    <t>ORD-2024-10039,04-13-2024,South,OFFICE SUPPLIES,Storage,Gel Pens 12-Pack,582.8,10,0.5,-257.92</t>
  </si>
  <si>
    <t>ORD-2025-10247,2025-09-06,West ,Office Supplies ,Pens &amp; Art,Stapler Executive Pro,,2,0.2,-2.23</t>
  </si>
  <si>
    <t>ORD-2025-10178,03-28-2025,East ,Furniture,Bookcases,Filing Cabinet 3-Drawer,809.38,3,0.3,-225.66</t>
  </si>
  <si>
    <t>ORD-2025-10144,2025-01-07,East ,Office Supplies ,Paper,Copy Paper 500 Sheets,226.18,7,0.2,-0.59</t>
  </si>
  <si>
    <t>ORD-2024-10113,27/09/2024,south,Furniture,Furnishings,Executive Leather Chair,"$3,494.37",9,0.15,-221.12</t>
  </si>
  <si>
    <t>ORD-2025-10177,17/03/2025,East,Office Supplies ,Binders,Copy Paper 500 Sheets,$306.35,9,0.05,54.54</t>
  </si>
  <si>
    <t>ORD-2024-10118,15/10/2024,CENTRAL,Technology,Machines,Wireless Headset Pro,4255.52,7,0.4,-753.38</t>
  </si>
  <si>
    <t>ORD-2025-10286,29/11/2025,West ,Office Supplies ,Appliances,Office Microwave,579.69,5,0.1,69.8</t>
  </si>
  <si>
    <t>ORD-2025-10280,11-14-2025,West ,Office Supplies,Binders,Stapler Executive Pro,319.25,6,0.4,-88.7</t>
  </si>
  <si>
    <t>ORD-2025-10246,09-04-2025,WEST,furniture,Chairs,Desk Lamp LED,3785.16,6,0.0,441.33</t>
  </si>
  <si>
    <t>ORD-2025-10186,2025-04-06,East ,furniture,Tables,Conference Table 8ft,402.56,1,0.05,13.32</t>
  </si>
  <si>
    <t>ORD-2025-10234,07-27-2025,SOUTH,OFFICE SUPPLIES,Appliances,Copy Paper 500 Sheets,283.71,7,0.5,-122.14</t>
  </si>
  <si>
    <t>ORD-2024-10003,02/01/2024,South ,furniture,Tables,Ergonomic Mesh Chair,2342.65,9,0.3,-693.85</t>
  </si>
  <si>
    <t>ORD-2024-10116,10-06-2024,central,Office Supplies,Paper,File Folders 100-Pack,$18.09,1,0.15,0.84</t>
  </si>
  <si>
    <t>ORD-2025-10195,04-20-2025,West ,office supplies,Paper,Whiteboard Markers 8-Pack,208.85,4,0.3,-33.72</t>
  </si>
  <si>
    <t>ORD-2025-10187,2025-04-08,west,Technology,Accessories,Workstation PC Pro,1041.05,5,0.0,380.06</t>
  </si>
  <si>
    <t>ORD-2024-10121,24/10/2024,WEST,OFFICE SUPPLIES,Pens &amp; Art,File Folders 100-Pack,$480.97,5,0.3,-78.29</t>
  </si>
  <si>
    <t>ORD-2025-10223,07-10-2025,South ,OFFICE SUPPLIES,Storage,Office Microwave,225.18,6,0.5,-99.54</t>
  </si>
  <si>
    <t>ORD-2025-10268,10-21-2025,CENTRAL,Furniture,Bookcases,Lounge Sofa Seat,428.48,6,0.3,-125.98</t>
  </si>
  <si>
    <t>ORD-2024-10128,2024-11-26,West ,Technology,Copiers,HD Web Camera,"$1,227.48",5,0.3,-8.95</t>
  </si>
  <si>
    <t>ORD-2024-10075,07-08-2024,central,office supplies,Appliances,Gel Pens 12-Pack,373.88,7,0.4,-109.93</t>
  </si>
  <si>
    <t>ORD-2024-10030,26/03/2024,south,technology,Accessories,Laser Copier 3000,5457.12,10,0.4,-929.24</t>
  </si>
  <si>
    <t>ORD-2024-10084,2024-07-26,EAST,Office Supplies,Binders,Gel Pens 12-Pack,711.34,7,0.0,187.99</t>
  </si>
  <si>
    <t>ORD-2025-10257,01/10/2025,West,Office Supplies,Storage,Office Microwave,691.56,6,0.0,168.6</t>
  </si>
  <si>
    <t>ORD-2024-10108,2024-09-15,south,FURNITURE,Furnishings,Lounge Sofa Seat,836.96,2,0.15,-78.37</t>
  </si>
  <si>
    <t>ORD-2025-10291,10/12/2025,west,OFFICE SUPPLIES,Storage,File Folders 100-Pack,$274.71,7,0.15,12.54</t>
  </si>
  <si>
    <t>ORD-2025-10166,2025-02-10,West ,Furniture,Bookcases,Wooden Bookcase 5-Shelf,432.11,1,0.15,-30.66</t>
  </si>
  <si>
    <t>ORD-2024-10134,12-05-2024,Central,Office Supplies,Binders,Desktop Organizer Box,314.7,8,0.15,16.99</t>
  </si>
  <si>
    <t>ORD-2025-10283,2025-11-21,WEST,Technology,Copiers,Laser Copier 3000,11455.46,9,0.05,3702.53</t>
  </si>
  <si>
    <t>ORD-2025-10229,07-18-2025,west,office supplies,Appliances,Desktop Organizer Box,218.89,5,0.3,-34.73</t>
  </si>
  <si>
    <t>ORD-2024-10066,08/06/2024,East ,furniture,Tables,Executive Leather Chair,721.56,7,0.0,87.16</t>
  </si>
  <si>
    <t>ORD-2025-10210,05-24-2025,South,Furniture ,Bookcases,Ergonomic Mesh Chair,"$1,946.70",10,0.0,195.27</t>
  </si>
  <si>
    <t>ORD-2024-10086,04/08/2024,South ,OFFICE SUPPLIES,Pens &amp; Art,Gel Pens 12-Pack,$222.98,5,0.3,-34.69</t>
  </si>
  <si>
    <t>ORD-2025-10226,07-16-2025,west,OFFICE SUPPLIES,Appliances,Gel Pens 12-Pack,226.84,8,0.5,-99.57</t>
  </si>
  <si>
    <t>ORD-2025-10160,2025-02-04,WEST,FURNITURE,Chairs,Lounge Sofa Seat,5863.5,9,0.05,</t>
  </si>
  <si>
    <t>ORD-2024-10013,2024-01-28,EAST,FURNITURE,Bookcases,Filing Cabinet 3-Drawer,$701.54,4,0.2,-113.3</t>
  </si>
  <si>
    <t>ORD-2024-10036,08/04/2024,west,Technology,Accessories,Laser Copier 3000,5190.62,8,0.1,1347.41</t>
  </si>
  <si>
    <t>ORD-2024-10029,03-21-2024,west,TECHNOLOGY,Phones,Workstation PC Pro,$953.70,4,0.15,175.73</t>
  </si>
  <si>
    <t>ORD-2025-10171,2025-02-22,CENTRAL,Furniture,Tables,Filing Cabinet 3-Drawer,4197.46,9,0.2,-698.41</t>
  </si>
  <si>
    <t>ORD-2025-10143,2025-01-01,CENTRAL,OFFICE SUPPLIES,Appliances,Desktop Organizer Box,260.95,10,0.5,-108.33</t>
  </si>
  <si>
    <t>ORD-2025-10255,2025-09-29,west,technology,Accessories,Wireless Headset Pro,5247.42,6,0.0,2089.19</t>
  </si>
  <si>
    <t>ORD-2024-10132,03/12/2024,west,Furniture,Furnishings,Executive Leather Chair,"$1,525.79",10,0.3,-426.62</t>
  </si>
  <si>
    <t>ORD-2025-10181,2025-03-31,Central,Office Supplies,Storage,Stapler Executive Pro,74.97,5,0.1,10.03</t>
  </si>
  <si>
    <t>ORD-2024-10052,10/05/2024,West ,furniture,Furnishings,Executive Leather Chair,$733.36,6,0.05,42.52</t>
  </si>
  <si>
    <t>ORD-2024-10096,2024-08-20,SOUTH,Office Supplies,Binders,Heavy Duty Binder,$785.26,10,0.3,-124.96</t>
  </si>
  <si>
    <t>ORD-2025-10220,07-07-2025,South,furniture,Bookcases,Desk Lamp LED,510.66,3,,54.68</t>
  </si>
  <si>
    <t>ORD-2025-10179,2025-03-30,East,Technology,Machines,Business Router Max,"$5,680.05",5,0.0,2201.65</t>
  </si>
  <si>
    <t>ORD-2025-10233,2025-07-25,south,Office Supplies ,Binders,Office Microwave,$407.44,6,0.05,77.13</t>
  </si>
  <si>
    <t>ORD-2024-10042,2024-04-21,West ,FURNITURE,Chairs,Desk Lamp LED,"$3,262.05",10,0.1,-38.63</t>
  </si>
  <si>
    <t>ORD-2024-10090,12/08/2024,SOUTH,Furniture ,Bookcases,Desk Lamp LED,1329.05,6,0.3,-390.57</t>
  </si>
  <si>
    <t>ORD-2025-10230,2025-07-19,East,FURNITURE,Bookcases,Ergonomic Mesh Chair,2942.4,6,0.0,333.04</t>
  </si>
  <si>
    <t>ORD-2024-10137,2024-12-11,SOUTH,Office Supplies,Paper,Stapler Executive Pro,376.75,8,0.4,-105.34</t>
  </si>
  <si>
    <t>ORD-2024-10027,2024-03-12,EAST,OFFICE SUPPLIES,Pens &amp; Art,Copy Paper 500 Sheets,59.63,2,0.2,</t>
  </si>
  <si>
    <t>ORD-2024-10142,12-24-2024,EAST,Office Supplies ,Storage,Office Microwave,267.36,8,0.4,-80.28</t>
  </si>
  <si>
    <t>ORD-2025-10212,25/05/2025,WEST,Office Supplies ,Binders,File Folders 100-Pack,328.35,3,0.05,58.35</t>
  </si>
  <si>
    <t>ORD-2024-10001,02/01/2024,east,furniture,Chairs,Ergonomic Mesh Chair,1676.2,4,0.1,-49.31</t>
  </si>
  <si>
    <t>ORD-2025-10292,12-10-2025,west,furniture,Chairs,Wooden Bookcase 5-Shelf,"$1,851.55",8,0.4,-799.57</t>
  </si>
  <si>
    <t>ORD-2025-10281,14/11/2025,WEST,Furniture ,Tables,Conference Table 8ft,599.51,7,0.4,-251.18</t>
  </si>
  <si>
    <t>ORD-2024-10101,08-30-2024,Central,technology,Machines,Laser Copier 3000,"$2,301.22",5,0.5,-653.58</t>
  </si>
  <si>
    <t>ORD-2025-10193,17/04/2025,East,office supplies,Appliances,Stapler Executive Pro,259.5,10,0.5,-112.42</t>
  </si>
  <si>
    <t>ORD-2025-10266,16/10/2025,South ,Office Supplies,Paper,Office Microwave,72.53,2,0.2,-0.98</t>
  </si>
  <si>
    <t>ORD-2024-10104,2024-09-08,west,office supplies,Appliances,Whiteboard Markers 8-Pack,$376.00,8,0.2,-12.31</t>
  </si>
  <si>
    <t>ORD-2025-10172,2025-02-23,West,office supplies,Pens &amp; Art,Heavy Duty Binder,58.63,2,0.4,-17.31</t>
  </si>
  <si>
    <t>ORD-2024-10099,2024-08-28,west,Technology,Machines,Workstation PC Pro,1668.06,6,0.0,657.19</t>
  </si>
  <si>
    <t>ORD-2024-10037,2024-04-09,East,Technology ,Phones,Laser Copier 3000,"$3,260.12",7,0.15,634.29</t>
  </si>
  <si>
    <t>ORD-2024-10062,31/05/2024,WEST,furniture,Chairs,Executive Leather Chair,2067.91,9,0.3,-574.51</t>
  </si>
  <si>
    <t>ORD-2025-10151,2025-01-20,EAST,OFFICE SUPPLIES,Pens &amp; Art,Heavy Duty Binder,594.98,7,0.05,98.47</t>
  </si>
  <si>
    <t>ORD-2025-10250,09-16-2025,Central,Furniture ,Chairs,Conference Table 8ft,341.54,4,0.05,18.6</t>
  </si>
  <si>
    <t>ORD-2025-10214,05-25-2025,south,Office Supplies,Binders,Stapler Executive Pro,513.31,10,0.3,-75.26</t>
  </si>
  <si>
    <t>ORD-2025-10256,2025-10-01,east,Office Supplies,Appliances,Heavy Duty Binder,423.6,8,0.0,108.2</t>
  </si>
  <si>
    <t>ORD-2024-10012,2024-01-28,east,Office Supplies ,Storage,Gel Pens 12-Pack,76.78,1,0.1,9.82</t>
  </si>
  <si>
    <t>ORD-2025-10201,2025-05-06,south,technology,Machines,Dual Screen Monitor,3118.92,6,0.5,-936.6</t>
  </si>
  <si>
    <t>ORD-2025-10276,2025-11-07,central,Technology,Copiers,HD Web Camera,1080.57,3,0.0,408.54</t>
  </si>
  <si>
    <t>ORD-2024-10028,21/03/2024,Central ,Technology ,Accessories,Dual Screen Monitor,141.8,1,0.1,32.29</t>
  </si>
  <si>
    <t>ORD-2025-10232,2025-07-20,east,Office Supplies ,Appliances,Desktop Organizer Box,387.94,5,0.3,-65.89</t>
  </si>
  <si>
    <t>ORD-2024-10005,2024-01-09,WEST,TECHNOLOGY,Copiers,Mechanical Keyboard,2349.42,6,0.0,854.51</t>
  </si>
  <si>
    <t>ORD-2024-10123,04/11/2024,West ,office supplies,Binders,Desktop Organizer Box,409.32,9,0.0,96.71</t>
  </si>
  <si>
    <t>ORD-2024-10033,2024-04-05,South ,Furniture,Bookcases,Conference Table 8ft,$418.60,4,0.5,-233.18</t>
  </si>
  <si>
    <t>ORD-2025-10221,2025-07-09,CENTRAL,technology,Machines,HD Web Camera,5653.02,10,0.4,-863.53</t>
  </si>
  <si>
    <t>ORD-2025-10163,02-06-2025,East ,Technology,Copiers,Mechanical Keyboard,5961.65,5,0.0,2379.4</t>
  </si>
  <si>
    <t>ORD-2025-10222,09/07/2025,SOUTH,TECHNOLOGY,Copiers,Workstation PC Pro,$370.21,2,0.4,-60.09</t>
  </si>
  <si>
    <t>ORD-2025-10267,20/10/2025,West ,Office Supplies,Storage,File Folders 100-Pack,634.14,7,0.05,120.54</t>
  </si>
  <si>
    <t>ORD-2024-10139,11/12/2024,WEST,OFFICE SUPPLIES,Pens &amp; Art,Copy Paper 500 Sheets,148.23,10,0.1,18.29</t>
  </si>
  <si>
    <t>ORD-2024-10063,2024-06-01,EAST,Technology,Copiers,Smartphone X1,"$1,287.77",5,0.05,406.58</t>
  </si>
  <si>
    <t>ORD-2025-10216,2025-06-08,West ,furniture,Furnishings,Standing Desk Frame,283.1,2,0.1,-4.97</t>
  </si>
  <si>
    <t>ORD-2024-10136,12-09-2024,SOUTH,Technology,Machines,Smartphone X1,4538.92,9,0.4,-741.98</t>
  </si>
  <si>
    <t>ORD-2024-10129,2024-11-26,WEST,office supplies,Appliances,File Folders 100-Pack,726.9,10,0.0,193.05</t>
  </si>
  <si>
    <t>ORD-2025-10300,12-30-2025,east,technology,Machines,Mechanical Keyboard,998.94,2,0.3,-39.6</t>
  </si>
  <si>
    <t>ORD-2024-10009,2024-01-21,Central,Furniture ,Bookcases,Conference Table 8ft,734.68,2,0.3,-215.91</t>
  </si>
  <si>
    <t>ORD-2024-10071,07-02-2024,south,Technology,Machines,Workstation PC Pro,"$4,595.33",8,0.1,1127.91</t>
  </si>
  <si>
    <t>ORD-2025-10273,2025-11-02,south,Office Supplies ,Binders,Desktop Organizer Box,382.14,7,0.2,-5.36</t>
  </si>
  <si>
    <t>ORD-2024-10065,08/06/2024,West,Office Supplies ,Storage,Whiteboard Markers 8-Pack,$862.65,9,0.0,211.7</t>
  </si>
  <si>
    <t>ORD-2024-10045,22/04/2024,west,Furniture ,Tables,Executive Leather Chair,794.4,2,0.0,94.0</t>
  </si>
  <si>
    <t>ORD-2025-10249,09-15-2025,Central ,office supplies,Storage,File Folders 100-Pack,155.83,3,0.4,-45.51</t>
  </si>
  <si>
    <t>ORD-2025-10157,26/01/2025,central,OFFICE SUPPLIES,Pens &amp; Art,Desktop Organizer Box,$245.12,7,0.05,41.5</t>
  </si>
  <si>
    <t>ORD-2024-10041,2024-04-16,West ,technology,Accessories,Smartphone X1,2752.19,2,0.05,812.56</t>
  </si>
  <si>
    <t>ORD-2024-10124,09/11/2024,West,technology,Machines,HD Web Camera,"$7,427.64",8,0.15,1179.55</t>
  </si>
  <si>
    <t>ORD-2025-10284,22/11/2025,Central ,TECHNOLOGY,Accessories,Business Router Max,678.01,1,0.0,258.13</t>
  </si>
  <si>
    <t>ORD-2025-10217,06-24-2025,Central,Furniture ,Furnishings,Conference Table 8ft,"$1,143.20",5,,-184.21</t>
  </si>
  <si>
    <t>ORD-2025-10154,22/01/2025,south,Technology ,Phones,Dual Screen Monitor,"$3,657.24",5,0.1,932.12</t>
  </si>
  <si>
    <t>ORD-2024-10024,02-28-2024,South ,OFFICE SUPPLIES,Pens &amp; Art,Copy Paper 500 Sheets,"$1,005.31",9,0.05,168.53</t>
  </si>
  <si>
    <t>ORD-2025-10269,23/10/2025,West,Technology ,Phones,Wireless Headset Pro,5983.21,7,0.2,661.28</t>
  </si>
  <si>
    <t>ORD-2024-10111,2024-09-26,WEST,furniture,Furnishings,Executive Leather Chair,1197.2,4,0.0,154.26</t>
  </si>
  <si>
    <t>ORD-2024-10082,2024-07-24,WEST,TECHNOLOGY,Copiers,Wireless Headset Pro,1033.54,4,0.3,-17.82</t>
  </si>
  <si>
    <t>ORD-2025-10237,31/07/2025,EAST,Office Supplies ,Binders,Heavy Duty Binder,$786.69,10,0.05,146.63</t>
  </si>
  <si>
    <t>ORD-2025-10208,05-20-2025,East,Office Supplies ,Pens &amp; Art,File Folders 100-Pack,456.84,7,0.15,16.5</t>
  </si>
  <si>
    <t>ORD-2025-10213,25/05/2025,South,furniture,Tables,Standing Desk Frame,$82.24,1,0.3,-25.02</t>
  </si>
  <si>
    <t>ORD-2024-10040,2024-04-15,west,FURNITURE,Bookcases,Ergonomic Mesh Chair,530.36,8,0.5,-285.45</t>
  </si>
  <si>
    <t>ORD-2025-10254,24/09/2025,West ,Technology ,Copiers,Business Router Max,"$1,023.57",6,0.1,253.67</t>
  </si>
  <si>
    <t>ORD-2025-10270,2025-10-25,West ,Office Supplies ,Paper,Heavy Duty Binder,192.78,10,0.4,-59.49</t>
  </si>
  <si>
    <t>ORD-2025-10200,04/05/2025,west,TECHNOLOGY,Copiers,Workstation PC Pro,2620.19,9,0.1,605.76</t>
  </si>
  <si>
    <t>ORD-2024-10015,02-04-2024,west,technology,Accessories,Mechanical Keyboard,5723.0,7,0.3,-174.67</t>
  </si>
  <si>
    <t>ORD-2024-10048,02/05/2024,south,Office Supplies ,Appliances,Office Microwave,695.52,9,0.0,178.55</t>
  </si>
  <si>
    <t>ORD-2024-10095,2024-08-18,west,Office Supplies,Storage,Desktop Organizer Box,182.04,2,0.05,36.61</t>
  </si>
  <si>
    <t>ORD-2025-10272,11-02-2025,West ,office supplies,Appliances,Heavy Duty Binder,612.48,8,0.2,-15.39</t>
  </si>
  <si>
    <t>ORD-2025-10228,17/07/2025,south,Office Supplies,Paper,Heavy Duty Binder,178.8,8,0.4,-51.68</t>
  </si>
  <si>
    <t>ORD-2025-10282,11-17-2025,West ,TECHNOLOGY,Machines,Wireless Headset Pro,2111.94,6,0.0,798.31</t>
  </si>
  <si>
    <t>ORD-2025-10202,05-07-2025,central,Office Supplies ,Storage,Gel Pens 12-Pack,444.56,9,0.5,-197.36</t>
  </si>
  <si>
    <t>ORD-2025-10162,02-06-2025,west,furniture,Bookcases,Desk Lamp LED,5996.72,8,0.0,656.57</t>
  </si>
  <si>
    <t>ORD-2024-10044,04-22-2024,east,Technology ,Copiers,Dual Screen Monitor,4607.33,6,0.1,1085.6</t>
  </si>
  <si>
    <t>ORD-2025-10218,06-30-2025,East ,FURNITURE,Tables,Conference Table 8ft,345.45,2,0.5,-191.59</t>
  </si>
  <si>
    <t>ORD-2025-10191,04-17-2025,West,Office Supplies,Pens &amp; Art,Whiteboard Markers 8-Pack,512.83,8,0.4,-157.47</t>
  </si>
  <si>
    <t>ORD-2024-10106,09-10-2024,Central ,Office Supplies ,Storage,Heavy Duty Binder,267.32,4,0.0,64.06</t>
  </si>
  <si>
    <t>ORD-2024-10054,2024-05-10,West ,FURNITURE,Chairs,Conference Table 8ft,1071.42,3,,-614.52</t>
  </si>
  <si>
    <t>ORD-2024-10002,01-02-2024,east,TECHNOLOGY,Phones,Wireless Headset Pro,770.02,1,0.0,280.09</t>
  </si>
  <si>
    <t>ORD-2024-10050,08/05/2024,west,Office Supplies ,Binders,Desktop Organizer Box,449.55,10,0.1,55.61</t>
  </si>
  <si>
    <t>ORD-2024-10081,21/07/2024,West,Office Supplies ,Storage,File Folders 100-Pack,104.17,5,0.1,11.03</t>
  </si>
  <si>
    <t>ORD-2025-10206,05-17-2025,West,Furniture,Bookcases,Wooden Bookcase 5-Shelf,2043.18,6,0.0,276.51</t>
  </si>
  <si>
    <t>ORD-2024-10035,08/04/2024,South ,TECHNOLOGY,Phones,Smartphone X1,7512.75,9,0.0,2995.78</t>
  </si>
  <si>
    <t>ORD-2025-10264,10-10-2025,west,OFFICE SUPPLIES,Pens &amp; Art,Whiteboard Markers 8-Pack,$106.42,3,0.4,-30.04</t>
  </si>
  <si>
    <t>ORD-2024-10092,14/08/2024,West,TECHNOLOGY,Phones,Workstation PC Pro,963.58,2,0.0,375.96</t>
  </si>
  <si>
    <t>ORD-2024-10053,2024-05-10,West,Office Supplies ,Storage,Desktop Organizer Box,720.85,9,0.3,-109.98</t>
  </si>
  <si>
    <t>ORD-2025-10265,13/10/2025,SOUTH,Office Supplies ,Storage,Office Microwave,686.91,7,0.0,169.82</t>
  </si>
  <si>
    <t>ORD-2025-10242,2025-08-31,central,Technology,Copiers,Business Router Max,"$4,509.03",7,0.05,1466.23</t>
  </si>
  <si>
    <t>ORD-2024-10089,08-12-2024,East ,technology,Machines,Laser Copier 3000,3180.57,3,0.0,1178.1</t>
  </si>
  <si>
    <t>ORD-2025-10167,02-14-2025,Central,Furniture,Chairs,Standing Desk Frame,783.41,2,0.15,-70.06</t>
  </si>
  <si>
    <t>ORD-2024-10135,2024-12-09,west,Technology ,Machines,Smartphone X1,4000.75,6,0.15,681.85</t>
  </si>
  <si>
    <t>ORD-2025-10297,27/12/2025,West,Furniture,Bookcases,Desk Lamp LED,"$2,384.12",8,0.5,-1326.35</t>
  </si>
  <si>
    <t>ORD-2025-10244,02/09/2025,West ,office supplies,Appliances,Copy Paper 500 Sheets,992.88,9,0.0,239.68</t>
  </si>
  <si>
    <t>ORD-2024-10055,14/05/2024,WEST,Office Supplies ,Storage,Desktop Organizer Box,$60.86,1,0.15,2.56</t>
  </si>
  <si>
    <t>ORD-2024-10051,05-09-2024,Central,furniture,Tables,Executive Leather Chair,1714.05,5,0.0,177.73</t>
  </si>
  <si>
    <t>ORD-2025-10175,11/03/2025,west,office supplies,Paper,Copy Paper 500 Sheets,$679.12,8,0.15,36.31</t>
  </si>
  <si>
    <t>ORD-2025-10190,2025-04-16,WEST,TECHNOLOGY,Copiers,HD Web Camera,1031.88,1,0.0,412.69</t>
  </si>
  <si>
    <t>ORD-2025-10188,2025-04-11,CENTRAL,Office Supplies ,Pens &amp; Art,Copy Paper 500 Sheets,441.7,8,0.4,-123.18</t>
  </si>
  <si>
    <t>ORD-2025-10170,02-19-2025,East,Technology,Copiers,Wireless Headset Pro,1219.33,2,0.05,393.44</t>
  </si>
  <si>
    <t>ORD-2024-10059,2024-05-26,East ,Office Supplies ,Paper,Office Microwave,38.51,2,0.3,</t>
  </si>
  <si>
    <t>ORD-2024-10049,05-03-2024,WEST,Furniture,Bookcases,Conference Table 8ft,1811.26,3,0.15,-177.29</t>
  </si>
  <si>
    <t>ORD-2025-10236,28/07/2025,south,OFFICE SUPPLIES,Pens &amp; Art,Gel Pens 12-Pack,99.52,3,0.05,16.48</t>
  </si>
  <si>
    <t>ORD-2025-10253,19/09/2025,Central,furniture,Furnishings,Ergonomic Mesh Chair,3677.58,10,0.1,-23.02</t>
  </si>
  <si>
    <t>ORD-2024-10022,02-22-2024,CENTRAL,Office Supplies,Appliances,Heavy Duty Binder,607.04,8,0.0,142.34</t>
  </si>
  <si>
    <t>ORD-2025-10161,2025-02-05,west,TECHNOLOGY,Copiers,Mechanical Keyboard,6105.35,7,0.15,1073.16</t>
  </si>
  <si>
    <t>ORD-2025-10277,11-12-2025,south,Technology,Machines,Wireless Headset Pro,4804.99,6,0.2,568.82</t>
  </si>
  <si>
    <t>ORD-2025-10192,2025-04-17,EAST,OFFICE SUPPLIES,Binders,Stapler Executive Pro,146.13,2,0.05,25.35</t>
  </si>
  <si>
    <t>ORD-2025-10294,12-20-2025,EAST,Technology,Accessories,Workstation PC Pro,,2,0.2,110.15</t>
  </si>
  <si>
    <t>ORD-2025-10258,2025-10-02,east,furniture,Chairs,Standing Desk Frame,$448.11,6,0.5,-251.59</t>
  </si>
  <si>
    <t>ORD-2025-10150,19/01/2025,CENTRAL,Technology ,Accessories,Workstation PC Pro,8505.52,8,0.0,3240.93</t>
  </si>
  <si>
    <t>ORD-2024-10131,12-03-2024,CENTRAL,office supplies,Storage,Heavy Duty Binder,169.09,3,0.4,-48.91</t>
  </si>
  <si>
    <t>ORD-2025-10152,20/01/2025,west,Technology ,Copiers,Workstation PC Pro,7038.71,7,0.0,2773.75</t>
  </si>
  <si>
    <t>ORD-2024-10100,08-29-2024,East,TECHNOLOGY,Machines,Wireless Headset Pro,2178.72,6,0.4,-330.53</t>
  </si>
  <si>
    <t>ORD-2024-10088,2024-08-07,South,Office Supplies,Paper,Heavy Duty Binder,1097.6,10,0.0,256.13</t>
  </si>
  <si>
    <t>ORD-2025-10215,06-04-2025,South,technology,Machines,Mechanical Keyboard,216.74,1,0.2,21.0</t>
  </si>
  <si>
    <t>ORD-2024-10122,2024-10-30,west,FURNITURE,Chairs,Conference Table 8ft,"$2,577.35",4,0.1,-62.92</t>
  </si>
  <si>
    <t>ORD-2024-10021,02-22-2024,west,OFFICE SUPPLIES,Appliances,Gel Pens 12-Pack,50.28,3,0.5,-20.46</t>
  </si>
  <si>
    <t>ORD-2025-10189,16/04/2025,CENTRAL,Furniture,Chairs,Lounge Sofa Seat,3420.0,10,0.0,441.49</t>
  </si>
  <si>
    <t>ORD-2024-10072,07-05-2024,West ,office supplies,Paper,Copy Paper 500 Sheets,$412.16,10,0.2,-14.95</t>
  </si>
  <si>
    <t>ORD-2024-10107,2024-09-10,West ,TECHNOLOGY,Machines,HD Web Camera,2198.81,4,0.4,-338.98</t>
  </si>
  <si>
    <t>ORD-2025-10271,25/10/2025,west,OFFICE SUPPLIES,Binders,Gel Pens 12-Pack,573.84,6,0.2,-14.17</t>
  </si>
  <si>
    <t>ORD-2024-10103,09-03-2024,West ,Office Supplies ,Paper,Copy Paper 500 Sheets,366.12,8,0.1,45.77</t>
  </si>
  <si>
    <t>Grand Total</t>
  </si>
  <si>
    <t>Regional Manager</t>
  </si>
  <si>
    <t>Priya Sharma</t>
  </si>
  <si>
    <t>Rahul Verma</t>
  </si>
  <si>
    <t>Ankit Gupta</t>
  </si>
  <si>
    <t>Neha Singh</t>
  </si>
  <si>
    <t>Total sales</t>
  </si>
  <si>
    <t>Total Profit</t>
  </si>
  <si>
    <t>Profit Margin</t>
  </si>
  <si>
    <t>Discount Range</t>
  </si>
  <si>
    <t>0-10%</t>
  </si>
  <si>
    <t>11-20%</t>
  </si>
  <si>
    <t>21-30%</t>
  </si>
  <si>
    <t>31-40%</t>
  </si>
  <si>
    <t>Average Profit</t>
  </si>
  <si>
    <t>SALES PERFORMANCE DASHBOARD</t>
  </si>
  <si>
    <t>Total Sales
$498,985.55</t>
  </si>
  <si>
    <t>Profit Margin
12.1%</t>
  </si>
  <si>
    <t>Total Profit
$60,215.38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</si>
</sst>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0.0%"/>
  </numFmts>
  <fonts count="3" x14ac:knownFonts="1">
    <font>
      <sz val="11"/>
      <color theme="1"/>
      <name val="Calibri"/>
      <family val="2"/>
      <scheme val="minor"/>
    </font>
    <font>
      <b/>
      <sz val="11"/>
      <color theme="1"/>
      <name val="Calibri"/>
      <family val="2"/>
      <scheme val="minor"/>
    </font>
    <font>
      <b/>
      <sz val="26"/>
      <color theme="1"/>
      <name val="Calibri"/>
      <family val="2"/>
      <scheme val="minor"/>
    </font>
  </fonts>
  <fills count="5">
    <fill>
      <patternFill patternType="none"/>
    </fill>
    <fill>
      <patternFill patternType="gray125"/>
    </fill>
    <fill>
      <patternFill patternType="solid">
        <fgColor theme="2"/>
        <bgColor indexed="64"/>
      </patternFill>
    </fill>
    <fill>
      <patternFill patternType="solid">
        <fgColor theme="4" tint="0.79998168889431442"/>
        <bgColor indexed="64"/>
      </patternFill>
    </fill>
    <fill>
      <patternFill patternType="solid">
        <fgColor theme="0" tint="-4.9989318521683403E-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30">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1" xfId="0" applyBorder="1"/>
    <xf numFmtId="0" fontId="1" fillId="3" borderId="0" xfId="0" applyFont="1" applyFill="1"/>
    <xf numFmtId="0" fontId="1" fillId="2" borderId="1" xfId="0" applyFont="1" applyFill="1" applyBorder="1"/>
    <xf numFmtId="43" fontId="0" fillId="0" borderId="0" xfId="0" applyNumberFormat="1"/>
    <xf numFmtId="164" fontId="0" fillId="0" borderId="0" xfId="0" applyNumberFormat="1"/>
    <xf numFmtId="164" fontId="0" fillId="3" borderId="0" xfId="0" applyNumberFormat="1" applyFill="1"/>
    <xf numFmtId="2" fontId="0" fillId="0" borderId="0" xfId="0" applyNumberFormat="1"/>
    <xf numFmtId="0" fontId="2" fillId="3" borderId="0" xfId="0" applyFont="1" applyFill="1" applyAlignment="1">
      <alignment horizontal="center" vertical="center"/>
    </xf>
    <xf numFmtId="0" fontId="1" fillId="4" borderId="2" xfId="0" applyFont="1" applyFill="1" applyBorder="1" applyAlignment="1">
      <alignment horizontal="center" vertical="center" wrapText="1"/>
    </xf>
    <xf numFmtId="0" fontId="1" fillId="4" borderId="3" xfId="0" applyFont="1" applyFill="1" applyBorder="1" applyAlignment="1">
      <alignment horizontal="center" vertical="center"/>
    </xf>
    <xf numFmtId="0" fontId="1" fillId="4" borderId="4" xfId="0" applyFont="1" applyFill="1" applyBorder="1" applyAlignment="1">
      <alignment horizontal="center" vertical="center"/>
    </xf>
    <xf numFmtId="0" fontId="1" fillId="4" borderId="5" xfId="0" applyFont="1" applyFill="1" applyBorder="1" applyAlignment="1">
      <alignment horizontal="center" vertical="center"/>
    </xf>
    <xf numFmtId="0" fontId="1" fillId="4" borderId="0" xfId="0" applyFont="1" applyFill="1" applyBorder="1" applyAlignment="1">
      <alignment horizontal="center" vertical="center"/>
    </xf>
    <xf numFmtId="0" fontId="1" fillId="4" borderId="6" xfId="0" applyFont="1" applyFill="1" applyBorder="1" applyAlignment="1">
      <alignment horizontal="center" vertical="center"/>
    </xf>
    <xf numFmtId="0" fontId="1" fillId="4" borderId="7" xfId="0" applyFont="1" applyFill="1" applyBorder="1" applyAlignment="1">
      <alignment horizontal="center" vertical="center"/>
    </xf>
    <xf numFmtId="0" fontId="1" fillId="4" borderId="8" xfId="0" applyFont="1" applyFill="1" applyBorder="1" applyAlignment="1">
      <alignment horizontal="center" vertical="center"/>
    </xf>
    <xf numFmtId="0" fontId="1" fillId="4" borderId="9" xfId="0" applyFont="1" applyFill="1" applyBorder="1" applyAlignment="1">
      <alignment horizontal="center" vertical="center"/>
    </xf>
    <xf numFmtId="0" fontId="1" fillId="4" borderId="3"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1" fillId="4" borderId="0"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4" borderId="8" xfId="0" applyFont="1" applyFill="1" applyBorder="1" applyAlignment="1">
      <alignment horizontal="center" vertical="center" wrapText="1"/>
    </xf>
    <xf numFmtId="0" fontId="1" fillId="4" borderId="9" xfId="0" applyFont="1" applyFill="1" applyBorder="1" applyAlignment="1">
      <alignment horizontal="center" vertical="center" wrapText="1"/>
    </xf>
  </cellXfs>
  <cellStyles count="1">
    <cellStyle name="Normal" xfId="0" builtinId="0"/>
  </cellStyles>
  <dxfs count="41">
    <dxf>
      <numFmt numFmtId="35" formatCode="_(* #,##0.00_);_(* \(#,##0.00\);_(* &quot;-&quot;??_);_(@_)"/>
    </dxf>
    <dxf>
      <numFmt numFmtId="35" formatCode="_(* #,##0.00_);_(* \(#,##0.00\);_(* &quot;-&quot;??_);_(@_)"/>
    </dxf>
    <dxf>
      <numFmt numFmtId="2" formatCode="0.0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2" formatCode="0.0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2" formatCode="0.00"/>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35" formatCode="_(* #,##0.00_);_(* \(#,##0.00\);_(* &quot;-&quot;??_);_(@_)"/>
    </dxf>
    <dxf>
      <numFmt numFmtId="2" formatCode="0.00"/>
    </dxf>
    <dxf>
      <numFmt numFmtId="35" formatCode="_(* #,##0.00_);_(* \(#,##0.00\);_(* &quot;-&quot;??_);_(@_)"/>
    </dxf>
    <dxf>
      <numFmt numFmtId="35" formatCode="_(* #,##0.00_);_(* \(#,##0.0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Analysis Dashboard - Power Query, Pivot Tables &amp; XLOOKUP.xlsx]Analysis Dashboard!Sales by Region</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Dashboard'!$C$20</c:f>
              <c:strCache>
                <c:ptCount val="1"/>
                <c:pt idx="0">
                  <c:v>Total</c:v>
                </c:pt>
              </c:strCache>
            </c:strRef>
          </c:tx>
          <c:spPr>
            <a:solidFill>
              <a:schemeClr val="accent1"/>
            </a:solidFill>
            <a:ln>
              <a:noFill/>
            </a:ln>
            <a:effectLst/>
          </c:spPr>
          <c:invertIfNegative val="0"/>
          <c:cat>
            <c:strRef>
              <c:f>'Analysis Dashboard'!$B$21:$B$25</c:f>
              <c:strCache>
                <c:ptCount val="4"/>
                <c:pt idx="0">
                  <c:v>Central</c:v>
                </c:pt>
                <c:pt idx="1">
                  <c:v>East</c:v>
                </c:pt>
                <c:pt idx="2">
                  <c:v>South</c:v>
                </c:pt>
                <c:pt idx="3">
                  <c:v>West</c:v>
                </c:pt>
              </c:strCache>
            </c:strRef>
          </c:cat>
          <c:val>
            <c:numRef>
              <c:f>'Analysis Dashboard'!$C$21:$C$25</c:f>
              <c:numCache>
                <c:formatCode>_(* #,##0.00_);_(* \(#,##0.00\);_(* "-"??_);_(@_)</c:formatCode>
                <c:ptCount val="4"/>
                <c:pt idx="0">
                  <c:v>75575.199999999997</c:v>
                </c:pt>
                <c:pt idx="1">
                  <c:v>101404.18000000001</c:v>
                </c:pt>
                <c:pt idx="2">
                  <c:v>76103.060000000012</c:v>
                </c:pt>
                <c:pt idx="3">
                  <c:v>245903.11000000013</c:v>
                </c:pt>
              </c:numCache>
            </c:numRef>
          </c:val>
          <c:extLst>
            <c:ext xmlns:c16="http://schemas.microsoft.com/office/drawing/2014/chart" uri="{C3380CC4-5D6E-409C-BE32-E72D297353CC}">
              <c16:uniqueId val="{00000000-7223-481A-BE01-EE7C0FFB7373}"/>
            </c:ext>
          </c:extLst>
        </c:ser>
        <c:dLbls>
          <c:showLegendKey val="0"/>
          <c:showVal val="0"/>
          <c:showCatName val="0"/>
          <c:showSerName val="0"/>
          <c:showPercent val="0"/>
          <c:showBubbleSize val="0"/>
        </c:dLbls>
        <c:gapWidth val="219"/>
        <c:overlap val="-27"/>
        <c:axId val="446216832"/>
        <c:axId val="446220160"/>
      </c:barChart>
      <c:catAx>
        <c:axId val="4462168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220160"/>
        <c:crosses val="autoZero"/>
        <c:auto val="1"/>
        <c:lblAlgn val="ctr"/>
        <c:lblOffset val="100"/>
        <c:noMultiLvlLbl val="0"/>
      </c:catAx>
      <c:valAx>
        <c:axId val="4462201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216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457200</xdr:colOff>
      <xdr:row>10</xdr:row>
      <xdr:rowOff>4762</xdr:rowOff>
    </xdr:from>
    <xdr:to>
      <xdr:col>12</xdr:col>
      <xdr:colOff>9525</xdr:colOff>
      <xdr:row>30</xdr:row>
      <xdr:rowOff>133350</xdr:rowOff>
    </xdr:to>
    <xdr:graphicFrame macro="">
      <xdr:nvGraphicFramePr>
        <xdr:cNvPr id="9" name="Chart 8">
          <a:extLst>
            <a:ext uri="{FF2B5EF4-FFF2-40B4-BE49-F238E27FC236}">
              <a16:creationId xmlns:a16="http://schemas.microsoft.com/office/drawing/2014/main" id="{4BECDE54-BE72-46FD-9A2F-D3501F7771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552450</xdr:colOff>
      <xdr:row>9</xdr:row>
      <xdr:rowOff>171451</xdr:rowOff>
    </xdr:from>
    <xdr:to>
      <xdr:col>3</xdr:col>
      <xdr:colOff>133350</xdr:colOff>
      <xdr:row>17</xdr:row>
      <xdr:rowOff>57151</xdr:rowOff>
    </xdr:to>
    <mc:AlternateContent xmlns:mc="http://schemas.openxmlformats.org/markup-compatibility/2006">
      <mc:Choice xmlns:a14="http://schemas.microsoft.com/office/drawing/2010/main" Requires="a14">
        <xdr:graphicFrame macro="">
          <xdr:nvGraphicFramePr>
            <xdr:cNvPr id="12" name="Region">
              <a:extLst>
                <a:ext uri="{FF2B5EF4-FFF2-40B4-BE49-F238E27FC236}">
                  <a16:creationId xmlns:a16="http://schemas.microsoft.com/office/drawing/2014/main" id="{A50A467B-54F5-4E7A-A133-D2DB23799EE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52450" y="1885951"/>
              <a:ext cx="1828800" cy="1409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771525</xdr:colOff>
      <xdr:row>10</xdr:row>
      <xdr:rowOff>0</xdr:rowOff>
    </xdr:from>
    <xdr:to>
      <xdr:col>6</xdr:col>
      <xdr:colOff>133350</xdr:colOff>
      <xdr:row>17</xdr:row>
      <xdr:rowOff>66675</xdr:rowOff>
    </xdr:to>
    <mc:AlternateContent xmlns:mc="http://schemas.openxmlformats.org/markup-compatibility/2006">
      <mc:Choice xmlns:a14="http://schemas.microsoft.com/office/drawing/2010/main" Requires="a14">
        <xdr:graphicFrame macro="">
          <xdr:nvGraphicFramePr>
            <xdr:cNvPr id="13" name="Category">
              <a:extLst>
                <a:ext uri="{FF2B5EF4-FFF2-40B4-BE49-F238E27FC236}">
                  <a16:creationId xmlns:a16="http://schemas.microsoft.com/office/drawing/2014/main" id="{A75A8ECF-7D23-4609-AB34-B42619831D4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019425" y="1905000"/>
              <a:ext cx="1828800" cy="14001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s" refreshedDate="46240.584535185182" missingItemsLimit="0" createdVersion="7" refreshedVersion="7" minRefreshableVersion="3" recordCount="296" xr:uid="{2E14AE46-8691-49E9-BBAB-686E8D6BF4F2}">
  <cacheSource type="worksheet">
    <worksheetSource name="Order_ID_Order"/>
  </cacheSource>
  <cacheFields count="12">
    <cacheField name="Order ID" numFmtId="0">
      <sharedItems/>
    </cacheField>
    <cacheField name="Order Date" numFmtId="14">
      <sharedItems containsSemiMixedTypes="0" containsNonDate="0" containsDate="1" containsString="0" minDate="2024-01-02T00:00:00" maxDate="2025-12-31T00:00:00"/>
    </cacheField>
    <cacheField name="Region" numFmtId="0">
      <sharedItems count="4">
        <s v="West"/>
        <s v="Central"/>
        <s v="East"/>
        <s v="South"/>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12.74" maxValue="12325.5"/>
    </cacheField>
    <cacheField name="Quantity" numFmtId="0">
      <sharedItems containsSemiMixedTypes="0" containsString="0" containsNumber="1" containsInteger="1" minValue="1" maxValue="10"/>
    </cacheField>
    <cacheField name="Discount" numFmtId="0">
      <sharedItems containsSemiMixedTypes="0" containsString="0" containsNumber="1" minValue="0" maxValue="0.5"/>
    </cacheField>
    <cacheField name="Profit" numFmtId="0">
      <sharedItems containsSemiMixedTypes="0" containsString="0" containsNumber="1" minValue="-1568.52" maxValue="4608.3599999999997"/>
    </cacheField>
    <cacheField name="Regional Manager" numFmtId="0">
      <sharedItems/>
    </cacheField>
    <cacheField name="Discount Range" numFmtId="0">
      <sharedItems count="4">
        <s v="11-20%"/>
        <s v="21-30%"/>
        <s v="31-40%"/>
        <s v="0-10%"/>
      </sharedItems>
    </cacheField>
  </cacheFields>
  <extLst>
    <ext xmlns:x14="http://schemas.microsoft.com/office/spreadsheetml/2009/9/main" uri="{725AE2AE-9491-48be-B2B4-4EB974FC3084}">
      <x14:pivotCacheDefinition pivotCacheId="8081476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6">
  <r>
    <s v="ORD-2025-10289"/>
    <d v="2025-12-02T00:00:00"/>
    <x v="0"/>
    <x v="0"/>
    <s v="Chairs"/>
    <s v="Ergonomic Mesh Chair"/>
    <n v="1298.71"/>
    <n v="10"/>
    <n v="0.15"/>
    <n v="-99.29"/>
    <s v="Rahul Verma"/>
    <x v="0"/>
  </r>
  <r>
    <s v="ORD-2024-10010"/>
    <d v="2024-01-21T00:00:00"/>
    <x v="1"/>
    <x v="1"/>
    <s v="Storage"/>
    <s v="Desktop Organizer Box"/>
    <n v="172.45"/>
    <n v="4"/>
    <n v="0.15"/>
    <n v="9.58"/>
    <s v="Ankit Gupta"/>
    <x v="0"/>
  </r>
  <r>
    <s v="ORD-2024-10058"/>
    <d v="2024-05-23T00:00:00"/>
    <x v="1"/>
    <x v="2"/>
    <s v="Accessories"/>
    <s v="Business Router Max"/>
    <n v="739.33"/>
    <n v="6"/>
    <n v="0.3"/>
    <n v="-9.5500000000000007"/>
    <s v="Ankit Gupta"/>
    <x v="1"/>
  </r>
  <r>
    <s v="ORD-2024-10061"/>
    <d v="2024-05-30T00:00:00"/>
    <x v="0"/>
    <x v="1"/>
    <s v="Paper"/>
    <s v="Gel Pens 12-Pack"/>
    <n v="44.1"/>
    <n v="4"/>
    <n v="0.3"/>
    <n v="-7.14"/>
    <s v="Rahul Verma"/>
    <x v="1"/>
  </r>
  <r>
    <s v="ORD-2024-10026"/>
    <d v="2024-05-03T00:00:00"/>
    <x v="2"/>
    <x v="0"/>
    <s v="Tables"/>
    <s v="Executive Leather Chair"/>
    <n v="1034.93"/>
    <n v="6"/>
    <n v="0.4"/>
    <n v="-418.13"/>
    <s v="Priya Sharma"/>
    <x v="2"/>
  </r>
  <r>
    <s v="ORD-2024-10064"/>
    <d v="2024-06-05T00:00:00"/>
    <x v="0"/>
    <x v="1"/>
    <s v="Storage"/>
    <s v="Heavy Duty Binder"/>
    <n v="153.5"/>
    <n v="7"/>
    <n v="0.2"/>
    <n v="-1.67"/>
    <s v="Rahul Verma"/>
    <x v="0"/>
  </r>
  <r>
    <s v="ORD-2024-10093"/>
    <d v="2024-08-18T00:00:00"/>
    <x v="1"/>
    <x v="2"/>
    <s v="Accessories"/>
    <s v="Dual Screen Monitor"/>
    <n v="9796.31"/>
    <n v="10"/>
    <n v="0.05"/>
    <n v="2958.9"/>
    <s v="Ankit Gupta"/>
    <x v="3"/>
  </r>
  <r>
    <s v="ORD-2025-10185"/>
    <d v="2025-06-04T00:00:00"/>
    <x v="3"/>
    <x v="1"/>
    <s v="Appliances"/>
    <s v="Heavy Duty Binder"/>
    <n v="115.42"/>
    <n v="3"/>
    <n v="0.05"/>
    <n v="21.25"/>
    <s v="Neha Singh"/>
    <x v="3"/>
  </r>
  <r>
    <s v="ORD-2025-10245"/>
    <d v="2025-04-09T00:00:00"/>
    <x v="2"/>
    <x v="2"/>
    <s v="Accessories"/>
    <s v="Mechanical Keyboard"/>
    <n v="5316.3"/>
    <n v="9"/>
    <n v="0.05"/>
    <n v="1731.74"/>
    <s v="Priya Sharma"/>
    <x v="3"/>
  </r>
  <r>
    <s v="ORD-2024-10047"/>
    <d v="2024-05-01T00:00:00"/>
    <x v="3"/>
    <x v="1"/>
    <s v="Storage"/>
    <s v="Copy Paper 500 Sheets"/>
    <n v="544.27"/>
    <n v="6"/>
    <n v="0.15"/>
    <n v="18.399999999999999"/>
    <s v="Neha Singh"/>
    <x v="0"/>
  </r>
  <r>
    <s v="ORD-2024-10076"/>
    <d v="2024-07-10T00:00:00"/>
    <x v="0"/>
    <x v="2"/>
    <s v="Accessories"/>
    <s v="Smartphone X1"/>
    <n v="1902.77"/>
    <n v="2"/>
    <n v="0.3"/>
    <n v="-68.97"/>
    <s v="Rahul Verma"/>
    <x v="1"/>
  </r>
  <r>
    <s v="ORD-2025-10164"/>
    <d v="2025-07-02T00:00:00"/>
    <x v="0"/>
    <x v="2"/>
    <s v="Machines"/>
    <s v="Mechanical Keyboard"/>
    <n v="118.88"/>
    <n v="1"/>
    <n v="0.4"/>
    <n v="-17.440000000000001"/>
    <s v="Rahul Verma"/>
    <x v="2"/>
  </r>
  <r>
    <s v="ORD-2025-10296"/>
    <d v="2025-12-26T00:00:00"/>
    <x v="0"/>
    <x v="2"/>
    <s v="Machines"/>
    <s v="Business Router Max"/>
    <n v="1232.04"/>
    <n v="3"/>
    <n v="0.2"/>
    <n v="156.9"/>
    <s v="Rahul Verma"/>
    <x v="0"/>
  </r>
  <r>
    <s v="ORD-2025-10159"/>
    <d v="2025-02-01T00:00:00"/>
    <x v="0"/>
    <x v="2"/>
    <s v="Accessories"/>
    <s v="Dual Screen Monitor"/>
    <n v="2378.2800000000002"/>
    <n v="5"/>
    <n v="0.4"/>
    <n v="-403.8"/>
    <s v="Rahul Verma"/>
    <x v="2"/>
  </r>
  <r>
    <s v="ORD-2025-10290"/>
    <d v="2025-03-12T00:00:00"/>
    <x v="2"/>
    <x v="2"/>
    <s v="Machines"/>
    <s v="Smartphone X1"/>
    <n v="5147.99"/>
    <n v="9"/>
    <n v="0.15"/>
    <n v="942.99"/>
    <s v="Priya Sharma"/>
    <x v="0"/>
  </r>
  <r>
    <s v="ORD-2024-10006"/>
    <d v="2024-01-14T00:00:00"/>
    <x v="2"/>
    <x v="1"/>
    <s v="Binders"/>
    <s v="Stapler Executive Pro"/>
    <n v="877.37"/>
    <n v="10"/>
    <n v="0.15"/>
    <n v="52.45"/>
    <s v="Priya Sharma"/>
    <x v="0"/>
  </r>
  <r>
    <s v="ORD-2025-10156"/>
    <d v="2025-01-24T00:00:00"/>
    <x v="3"/>
    <x v="1"/>
    <s v="Storage"/>
    <s v="Heavy Duty Binder"/>
    <n v="12.8"/>
    <n v="1"/>
    <n v="0.15"/>
    <n v="0.54"/>
    <s v="Neha Singh"/>
    <x v="0"/>
  </r>
  <r>
    <s v="ORD-2025-10165"/>
    <d v="2025-02-10T00:00:00"/>
    <x v="1"/>
    <x v="1"/>
    <s v="Storage"/>
    <s v="Gel Pens 12-Pack"/>
    <n v="414.61"/>
    <n v="6"/>
    <n v="0.1"/>
    <n v="49.95"/>
    <s v="Ankit Gupta"/>
    <x v="3"/>
  </r>
  <r>
    <s v="ORD-2025-10169"/>
    <d v="2025-02-18T00:00:00"/>
    <x v="0"/>
    <x v="0"/>
    <s v="Bookcases"/>
    <s v="Wooden Bookcase 5-Shelf"/>
    <n v="1815.8"/>
    <n v="8"/>
    <n v="0.15"/>
    <n v="-131.9"/>
    <s v="Rahul Verma"/>
    <x v="0"/>
  </r>
  <r>
    <s v="ORD-2024-10074"/>
    <d v="2024-08-07T00:00:00"/>
    <x v="2"/>
    <x v="2"/>
    <s v="Accessories"/>
    <s v="HD Web Camera"/>
    <n v="950.21"/>
    <n v="2"/>
    <n v="0.4"/>
    <n v="-155.29"/>
    <s v="Priya Sharma"/>
    <x v="2"/>
  </r>
  <r>
    <s v="ORD-2024-10105"/>
    <d v="2024-09-09T00:00:00"/>
    <x v="2"/>
    <x v="2"/>
    <s v="Accessories"/>
    <s v="Workstation PC Pro"/>
    <n v="5037.37"/>
    <n v="6"/>
    <n v="0.15"/>
    <n v="970.77"/>
    <s v="Priya Sharma"/>
    <x v="0"/>
  </r>
  <r>
    <s v="ORD-2024-10138"/>
    <d v="2024-12-11T00:00:00"/>
    <x v="0"/>
    <x v="1"/>
    <s v="Paper"/>
    <s v="Office Microwave"/>
    <n v="264.06"/>
    <n v="5"/>
    <n v="0.4"/>
    <n v="-72.55"/>
    <s v="Rahul Verma"/>
    <x v="2"/>
  </r>
  <r>
    <s v="ORD-2025-10207"/>
    <d v="2025-05-19T00:00:00"/>
    <x v="2"/>
    <x v="1"/>
    <s v="Paper"/>
    <s v="Desktop Organizer Box"/>
    <n v="92.99"/>
    <n v="1"/>
    <n v="0"/>
    <n v="22.4"/>
    <s v="Priya Sharma"/>
    <x v="3"/>
  </r>
  <r>
    <s v="ORD-2024-10077"/>
    <d v="2024-07-16T00:00:00"/>
    <x v="0"/>
    <x v="1"/>
    <s v="Appliances"/>
    <s v="File Folders 100-Pack"/>
    <n v="77.64"/>
    <n v="4"/>
    <n v="0"/>
    <n v="19.27"/>
    <s v="Rahul Verma"/>
    <x v="3"/>
  </r>
  <r>
    <s v="ORD-2025-10174"/>
    <d v="2025-03-03T00:00:00"/>
    <x v="0"/>
    <x v="0"/>
    <s v="Furnishings"/>
    <s v="Ergonomic Mesh Chair"/>
    <n v="3619.51"/>
    <n v="9"/>
    <n v="0.2"/>
    <n v="-482.81"/>
    <s v="Rahul Verma"/>
    <x v="0"/>
  </r>
  <r>
    <s v="ORD-2024-10114"/>
    <d v="2024-09-30T00:00:00"/>
    <x v="2"/>
    <x v="2"/>
    <s v="Accessories"/>
    <s v="Mechanical Keyboard"/>
    <n v="991.59"/>
    <n v="3"/>
    <n v="0.15"/>
    <n v="156.74"/>
    <s v="Priya Sharma"/>
    <x v="0"/>
  </r>
  <r>
    <s v="ORD-2024-10034"/>
    <d v="2024-08-04T00:00:00"/>
    <x v="1"/>
    <x v="0"/>
    <s v="Furnishings"/>
    <s v="Wooden Bookcase 5-Shelf"/>
    <n v="899.36"/>
    <n v="4"/>
    <n v="0"/>
    <n v="105.88"/>
    <s v="Ankit Gupta"/>
    <x v="3"/>
  </r>
  <r>
    <s v="ORD-2025-10275"/>
    <d v="2025-11-05T00:00:00"/>
    <x v="0"/>
    <x v="0"/>
    <s v="Chairs"/>
    <s v="Executive Leather Chair"/>
    <n v="4346.8599999999997"/>
    <n v="8"/>
    <n v="0.1"/>
    <n v="21.1"/>
    <s v="Rahul Verma"/>
    <x v="3"/>
  </r>
  <r>
    <s v="ORD-2025-10252"/>
    <d v="2025-09-19T00:00:00"/>
    <x v="1"/>
    <x v="1"/>
    <s v="Paper"/>
    <s v="Whiteboard Markers 8-Pack"/>
    <n v="481.68"/>
    <n v="10"/>
    <n v="0.4"/>
    <n v="-148.11000000000001"/>
    <s v="Ankit Gupta"/>
    <x v="2"/>
  </r>
  <r>
    <s v="ORD-2024-10109"/>
    <d v="2024-09-19T00:00:00"/>
    <x v="2"/>
    <x v="2"/>
    <s v="Accessories"/>
    <s v="Mechanical Keyboard"/>
    <n v="3049.78"/>
    <n v="6"/>
    <n v="0.4"/>
    <n v="-481.44"/>
    <s v="Priya Sharma"/>
    <x v="2"/>
  </r>
  <r>
    <s v="ORD-2024-10004"/>
    <d v="2024-01-05T00:00:00"/>
    <x v="0"/>
    <x v="1"/>
    <s v="Appliances"/>
    <s v="Office Microwave"/>
    <n v="117.61"/>
    <n v="1"/>
    <n v="0.05"/>
    <n v="22.4"/>
    <s v="Rahul Verma"/>
    <x v="3"/>
  </r>
  <r>
    <s v="ORD-2024-10083"/>
    <d v="2024-07-25T00:00:00"/>
    <x v="0"/>
    <x v="1"/>
    <s v="Paper"/>
    <s v="Copy Paper 500 Sheets"/>
    <n v="208.62"/>
    <n v="6"/>
    <n v="0.5"/>
    <n v="-88.95"/>
    <s v="Rahul Verma"/>
    <x v="2"/>
  </r>
  <r>
    <s v="ORD-2024-10094"/>
    <d v="2024-08-18T00:00:00"/>
    <x v="0"/>
    <x v="1"/>
    <s v="Pens &amp; Art"/>
    <s v="Copy Paper 500 Sheets"/>
    <n v="216.12"/>
    <n v="4"/>
    <n v="0.4"/>
    <n v="-60.95"/>
    <s v="Rahul Verma"/>
    <x v="2"/>
  </r>
  <r>
    <s v="ORD-2024-10102"/>
    <d v="2024-08-31T00:00:00"/>
    <x v="0"/>
    <x v="1"/>
    <s v="Pens &amp; Art"/>
    <s v="Whiteboard Markers 8-Pack"/>
    <n v="1071.3399999999999"/>
    <n v="10"/>
    <n v="0.15"/>
    <n v="43.27"/>
    <s v="Rahul Verma"/>
    <x v="0"/>
  </r>
  <r>
    <s v="ORD-2024-10046"/>
    <d v="2024-04-29T00:00:00"/>
    <x v="0"/>
    <x v="1"/>
    <s v="Appliances"/>
    <s v="Copy Paper 500 Sheets"/>
    <n v="45.14"/>
    <n v="4"/>
    <n v="0.5"/>
    <n v="-19.61"/>
    <s v="Rahul Verma"/>
    <x v="2"/>
  </r>
  <r>
    <s v="ORD-2024-10018"/>
    <d v="2024-02-10T00:00:00"/>
    <x v="2"/>
    <x v="2"/>
    <s v="Machines"/>
    <s v="Mechanical Keyboard"/>
    <n v="1169.6300000000001"/>
    <n v="1"/>
    <n v="0"/>
    <n v="452.96"/>
    <s v="Priya Sharma"/>
    <x v="3"/>
  </r>
  <r>
    <s v="ORD-2025-10198"/>
    <d v="2025-04-29T00:00:00"/>
    <x v="3"/>
    <x v="2"/>
    <s v="Phones"/>
    <s v="Wireless Headset Pro"/>
    <n v="3439.78"/>
    <n v="6"/>
    <n v="0.05"/>
    <n v="1082.69"/>
    <s v="Neha Singh"/>
    <x v="3"/>
  </r>
  <r>
    <s v="ORD-2024-10120"/>
    <d v="2024-10-22T00:00:00"/>
    <x v="2"/>
    <x v="2"/>
    <s v="Accessories"/>
    <s v="Wireless Headset Pro"/>
    <n v="4636.67"/>
    <n v="7"/>
    <n v="0.1"/>
    <n v="1187.1199999999999"/>
    <s v="Priya Sharma"/>
    <x v="3"/>
  </r>
  <r>
    <s v="ORD-2024-10043"/>
    <d v="2024-04-22T00:00:00"/>
    <x v="0"/>
    <x v="0"/>
    <s v="Chairs"/>
    <s v="Conference Table 8ft"/>
    <n v="1862.5"/>
    <n v="10"/>
    <n v="0.5"/>
    <n v="-1047.3699999999999"/>
    <s v="Rahul Verma"/>
    <x v="2"/>
  </r>
  <r>
    <s v="ORD-2024-10025"/>
    <d v="2024-03-03T00:00:00"/>
    <x v="0"/>
    <x v="1"/>
    <s v="Pens &amp; Art"/>
    <s v="Desktop Organizer Box"/>
    <n v="342.65"/>
    <n v="10"/>
    <n v="0.3"/>
    <n v="-46.75"/>
    <s v="Rahul Verma"/>
    <x v="1"/>
  </r>
  <r>
    <s v="ORD-2025-10180"/>
    <d v="2025-03-31T00:00:00"/>
    <x v="2"/>
    <x v="0"/>
    <s v="Tables"/>
    <s v="Lounge Sofa Seat"/>
    <n v="995.97"/>
    <n v="4"/>
    <n v="0.2"/>
    <n v="-165.36"/>
    <s v="Priya Sharma"/>
    <x v="0"/>
  </r>
  <r>
    <s v="ORD-2025-10243"/>
    <d v="2025-09-01T00:00:00"/>
    <x v="0"/>
    <x v="1"/>
    <s v="Appliances"/>
    <s v="Desktop Organizer Box"/>
    <n v="79.52"/>
    <n v="1"/>
    <n v="0.4"/>
    <n v="-21.87"/>
    <s v="Rahul Verma"/>
    <x v="2"/>
  </r>
  <r>
    <s v="ORD-2025-10298"/>
    <d v="2025-12-28T00:00:00"/>
    <x v="3"/>
    <x v="0"/>
    <s v="Bookcases"/>
    <s v="Lounge Sofa Seat"/>
    <n v="322.18"/>
    <n v="7"/>
    <n v="0.5"/>
    <n v="-179.36"/>
    <s v="Neha Singh"/>
    <x v="2"/>
  </r>
  <r>
    <s v="ORD-2025-10197"/>
    <d v="2025-04-29T00:00:00"/>
    <x v="0"/>
    <x v="1"/>
    <s v="Storage"/>
    <s v="Stapler Executive Pro"/>
    <n v="1148.96"/>
    <n v="8"/>
    <n v="0"/>
    <n v="268.45"/>
    <s v="Rahul Verma"/>
    <x v="3"/>
  </r>
  <r>
    <s v="ORD-2025-10227"/>
    <d v="2025-07-17T00:00:00"/>
    <x v="0"/>
    <x v="1"/>
    <s v="Binders"/>
    <s v="File Folders 100-Pack"/>
    <n v="160.38"/>
    <n v="6"/>
    <n v="0"/>
    <n v="40.119999999999997"/>
    <s v="Rahul Verma"/>
    <x v="3"/>
  </r>
  <r>
    <s v="ORD-2024-10008"/>
    <d v="2024-01-15T00:00:00"/>
    <x v="0"/>
    <x v="1"/>
    <s v="Appliances"/>
    <s v="Stapler Executive Pro"/>
    <n v="183.78"/>
    <n v="2"/>
    <n v="0"/>
    <n v="47.13"/>
    <s v="Rahul Verma"/>
    <x v="3"/>
  </r>
  <r>
    <s v="ORD-2025-10287"/>
    <d v="2025-11-30T00:00:00"/>
    <x v="0"/>
    <x v="2"/>
    <s v="Copiers"/>
    <s v="Laser Copier 3000"/>
    <n v="5039.2"/>
    <n v="10"/>
    <n v="0.5"/>
    <n v="-1568.52"/>
    <s v="Rahul Verma"/>
    <x v="2"/>
  </r>
  <r>
    <s v="ORD-2024-10078"/>
    <d v="2024-07-19T00:00:00"/>
    <x v="3"/>
    <x v="1"/>
    <s v="Pens &amp; Art"/>
    <s v="Stapler Executive Pro"/>
    <n v="458"/>
    <n v="8"/>
    <n v="0.5"/>
    <n v="-195.99"/>
    <s v="Neha Singh"/>
    <x v="2"/>
  </r>
  <r>
    <s v="ORD-2024-10115"/>
    <d v="2024-03-10T00:00:00"/>
    <x v="2"/>
    <x v="0"/>
    <s v="Tables"/>
    <s v="Executive Leather Chair"/>
    <n v="51.84"/>
    <n v="1"/>
    <n v="0.5"/>
    <n v="-29.2"/>
    <s v="Priya Sharma"/>
    <x v="2"/>
  </r>
  <r>
    <s v="ORD-2025-10240"/>
    <d v="2025-08-23T00:00:00"/>
    <x v="2"/>
    <x v="1"/>
    <s v="Pens &amp; Art"/>
    <s v="Gel Pens 12-Pack"/>
    <n v="206.22"/>
    <n v="5"/>
    <n v="0.4"/>
    <n v="-56.47"/>
    <s v="Priya Sharma"/>
    <x v="2"/>
  </r>
  <r>
    <s v="ORD-2025-10146"/>
    <d v="2025-11-01T00:00:00"/>
    <x v="3"/>
    <x v="1"/>
    <s v="Appliances"/>
    <s v="File Folders 100-Pack"/>
    <n v="420.72"/>
    <n v="8"/>
    <n v="0.5"/>
    <n v="-179.07"/>
    <s v="Neha Singh"/>
    <x v="2"/>
  </r>
  <r>
    <s v="ORD-2024-10085"/>
    <d v="2024-02-08T00:00:00"/>
    <x v="0"/>
    <x v="0"/>
    <s v="Furnishings"/>
    <s v="Lounge Sofa Seat"/>
    <n v="529.53"/>
    <n v="6"/>
    <n v="0.15"/>
    <n v="-38.32"/>
    <s v="Rahul Verma"/>
    <x v="0"/>
  </r>
  <r>
    <s v="ORD-2025-10182"/>
    <d v="2025-04-03T00:00:00"/>
    <x v="0"/>
    <x v="2"/>
    <s v="Machines"/>
    <s v="Wireless Headset Pro"/>
    <n v="10573.8"/>
    <n v="10"/>
    <n v="0"/>
    <n v="3827.96"/>
    <s v="Rahul Verma"/>
    <x v="3"/>
  </r>
  <r>
    <s v="ORD-2025-10231"/>
    <d v="2025-07-19T00:00:00"/>
    <x v="0"/>
    <x v="1"/>
    <s v="Appliances"/>
    <s v="Whiteboard Markers 8-Pack"/>
    <n v="489.92"/>
    <n v="10"/>
    <n v="0.05"/>
    <n v="86.14"/>
    <s v="Rahul Verma"/>
    <x v="3"/>
  </r>
  <r>
    <s v="ORD-2024-10014"/>
    <d v="2024-02-02T00:00:00"/>
    <x v="2"/>
    <x v="1"/>
    <s v="Pens &amp; Art"/>
    <s v="Whiteboard Markers 8-Pack"/>
    <n v="815.63"/>
    <n v="8"/>
    <n v="0.05"/>
    <n v="141.18"/>
    <s v="Priya Sharma"/>
    <x v="3"/>
  </r>
  <r>
    <s v="ORD-2025-10199"/>
    <d v="2025-05-03T00:00:00"/>
    <x v="3"/>
    <x v="2"/>
    <s v="Copiers"/>
    <s v="Wireless Headset Pro"/>
    <n v="4069.45"/>
    <n v="7"/>
    <n v="0"/>
    <n v="1622.64"/>
    <s v="Neha Singh"/>
    <x v="3"/>
  </r>
  <r>
    <s v="ORD-2025-10196"/>
    <d v="2025-04-21T00:00:00"/>
    <x v="0"/>
    <x v="2"/>
    <s v="Machines"/>
    <s v="Business Router Max"/>
    <n v="1173.58"/>
    <n v="2"/>
    <n v="0.2"/>
    <n v="125.66"/>
    <s v="Rahul Verma"/>
    <x v="0"/>
  </r>
  <r>
    <s v="ORD-2025-10225"/>
    <d v="2025-07-15T00:00:00"/>
    <x v="2"/>
    <x v="2"/>
    <s v="Phones"/>
    <s v="Business Router Max"/>
    <n v="5722.65"/>
    <n v="9"/>
    <n v="0"/>
    <n v="2163.1"/>
    <s v="Priya Sharma"/>
    <x v="3"/>
  </r>
  <r>
    <s v="ORD-2025-10159"/>
    <d v="2025-02-01T00:00:00"/>
    <x v="0"/>
    <x v="2"/>
    <s v="Accessories"/>
    <s v="Dual Screen Monitor"/>
    <n v="2378.2800000000002"/>
    <n v="5"/>
    <n v="0.4"/>
    <n v="-403.8"/>
    <s v="Rahul Verma"/>
    <x v="2"/>
  </r>
  <r>
    <s v="ORD-2024-10127"/>
    <d v="2024-11-21T00:00:00"/>
    <x v="3"/>
    <x v="1"/>
    <s v="Storage"/>
    <s v="Desktop Organizer Box"/>
    <n v="45.54"/>
    <n v="3"/>
    <n v="0.15"/>
    <n v="2.34"/>
    <s v="Neha Singh"/>
    <x v="0"/>
  </r>
  <r>
    <s v="ORD-2024-10110"/>
    <d v="2024-09-24T00:00:00"/>
    <x v="0"/>
    <x v="1"/>
    <s v="Storage"/>
    <s v="Whiteboard Markers 8-Pack"/>
    <n v="1076.69"/>
    <n v="9"/>
    <n v="0.2"/>
    <n v="-27.92"/>
    <s v="Rahul Verma"/>
    <x v="0"/>
  </r>
  <r>
    <s v="ORD-2025-10248"/>
    <d v="2025-11-09T00:00:00"/>
    <x v="2"/>
    <x v="1"/>
    <s v="Storage"/>
    <s v="Copy Paper 500 Sheets"/>
    <n v="583.16999999999996"/>
    <n v="6"/>
    <n v="0.05"/>
    <n v="97.97"/>
    <s v="Priya Sharma"/>
    <x v="3"/>
  </r>
  <r>
    <s v="ORD-2025-10235"/>
    <d v="2025-07-27T00:00:00"/>
    <x v="0"/>
    <x v="1"/>
    <s v="Storage"/>
    <s v="Office Microwave"/>
    <n v="119.33"/>
    <n v="4"/>
    <n v="0.2"/>
    <n v="-0.25"/>
    <s v="Rahul Verma"/>
    <x v="0"/>
  </r>
  <r>
    <s v="ORD-2025-10203"/>
    <d v="2025-05-11T00:00:00"/>
    <x v="2"/>
    <x v="1"/>
    <s v="Storage"/>
    <s v="Heavy Duty Binder"/>
    <n v="119.4"/>
    <n v="5"/>
    <n v="0.2"/>
    <n v="-3.1"/>
    <s v="Priya Sharma"/>
    <x v="0"/>
  </r>
  <r>
    <s v="ORD-2024-10079"/>
    <d v="2024-07-19T00:00:00"/>
    <x v="3"/>
    <x v="1"/>
    <s v="Appliances"/>
    <s v="File Folders 100-Pack"/>
    <n v="521.71"/>
    <n v="8"/>
    <n v="0.4"/>
    <n v="-156.32"/>
    <s v="Neha Singh"/>
    <x v="2"/>
  </r>
  <r>
    <s v="ORD-2025-10148"/>
    <d v="2025-01-14T00:00:00"/>
    <x v="2"/>
    <x v="0"/>
    <s v="Tables"/>
    <s v="Filing Cabinet 3-Drawer"/>
    <n v="1410.15"/>
    <n v="7"/>
    <n v="0"/>
    <n v="158.96"/>
    <s v="Priya Sharma"/>
    <x v="3"/>
  </r>
  <r>
    <s v="ORD-2024-10060"/>
    <d v="2024-05-27T00:00:00"/>
    <x v="0"/>
    <x v="1"/>
    <s v="Pens &amp; Art"/>
    <s v="Gel Pens 12-Pack"/>
    <n v="255.62"/>
    <n v="8"/>
    <n v="0.2"/>
    <n v="-7.1"/>
    <s v="Rahul Verma"/>
    <x v="0"/>
  </r>
  <r>
    <s v="ORD-2024-10119"/>
    <d v="2024-10-20T00:00:00"/>
    <x v="0"/>
    <x v="2"/>
    <s v="Phones"/>
    <s v="Laser Copier 3000"/>
    <n v="3258.22"/>
    <n v="10"/>
    <n v="0.15"/>
    <n v="524.27"/>
    <s v="Rahul Verma"/>
    <x v="0"/>
  </r>
  <r>
    <s v="ORD-2024-10007"/>
    <d v="2024-01-15T00:00:00"/>
    <x v="0"/>
    <x v="0"/>
    <s v="Furnishings"/>
    <s v="Conference Table 8ft"/>
    <n v="5127.71"/>
    <n v="7"/>
    <n v="0"/>
    <n v="626"/>
    <s v="Rahul Verma"/>
    <x v="3"/>
  </r>
  <r>
    <s v="ORD-2025-10183"/>
    <d v="2025-04-04T00:00:00"/>
    <x v="0"/>
    <x v="1"/>
    <s v="Storage"/>
    <s v="Gel Pens 12-Pack"/>
    <n v="1336.14"/>
    <n v="10"/>
    <n v="0.1"/>
    <n v="130.6"/>
    <s v="Rahul Verma"/>
    <x v="3"/>
  </r>
  <r>
    <s v="ORD-2024-10031"/>
    <d v="2024-03-28T00:00:00"/>
    <x v="2"/>
    <x v="2"/>
    <s v="Machines"/>
    <s v="Business Router Max"/>
    <n v="489.9"/>
    <n v="2"/>
    <n v="0.3"/>
    <n v="-15.1"/>
    <s v="Priya Sharma"/>
    <x v="1"/>
  </r>
  <r>
    <s v="ORD-2024-10023"/>
    <d v="2024-02-23T00:00:00"/>
    <x v="1"/>
    <x v="0"/>
    <s v="Bookcases"/>
    <s v="Executive Leather Chair"/>
    <n v="818.08"/>
    <n v="4"/>
    <n v="0"/>
    <n v="84.61"/>
    <s v="Ankit Gupta"/>
    <x v="3"/>
  </r>
  <r>
    <s v="ORD-2025-10263"/>
    <d v="2025-10-09T00:00:00"/>
    <x v="0"/>
    <x v="1"/>
    <s v="Binders"/>
    <s v="Stapler Executive Pro"/>
    <n v="210.29"/>
    <n v="6"/>
    <n v="0.3"/>
    <n v="-29.32"/>
    <s v="Rahul Verma"/>
    <x v="1"/>
  </r>
  <r>
    <s v="ORD-2024-10057"/>
    <d v="2024-05-23T00:00:00"/>
    <x v="0"/>
    <x v="1"/>
    <s v="Appliances"/>
    <s v="Whiteboard Markers 8-Pack"/>
    <n v="395.28"/>
    <n v="3"/>
    <n v="0.1"/>
    <n v="51.22"/>
    <s v="Rahul Verma"/>
    <x v="3"/>
  </r>
  <r>
    <s v="ORD-2025-10149"/>
    <d v="2025-01-19T00:00:00"/>
    <x v="1"/>
    <x v="1"/>
    <s v="Pens &amp; Art"/>
    <s v="Whiteboard Markers 8-Pack"/>
    <n v="94.45"/>
    <n v="3"/>
    <n v="0.4"/>
    <n v="-25.63"/>
    <s v="Ankit Gupta"/>
    <x v="2"/>
  </r>
  <r>
    <s v="ORD-2024-10141"/>
    <d v="2024-12-14T00:00:00"/>
    <x v="2"/>
    <x v="1"/>
    <s v="Binders"/>
    <s v="File Folders 100-Pack"/>
    <n v="205.52"/>
    <n v="3"/>
    <n v="0.4"/>
    <n v="-56.04"/>
    <s v="Priya Sharma"/>
    <x v="2"/>
  </r>
  <r>
    <s v="ORD-2025-10209"/>
    <d v="2025-05-23T00:00:00"/>
    <x v="0"/>
    <x v="0"/>
    <s v="Chairs"/>
    <s v="Standing Desk Frame"/>
    <n v="1138.32"/>
    <n v="5"/>
    <n v="0.4"/>
    <n v="-476.87"/>
    <s v="Rahul Verma"/>
    <x v="2"/>
  </r>
  <r>
    <s v="ORD-2025-10278"/>
    <d v="2025-11-12T00:00:00"/>
    <x v="3"/>
    <x v="1"/>
    <s v="Appliances"/>
    <s v="Office Microwave"/>
    <n v="307.94"/>
    <n v="3"/>
    <n v="0.05"/>
    <n v="59.82"/>
    <s v="Neha Singh"/>
    <x v="3"/>
  </r>
  <r>
    <s v="ORD-2025-10204"/>
    <d v="2025-05-13T00:00:00"/>
    <x v="2"/>
    <x v="0"/>
    <s v="Tables"/>
    <s v="Wooden Bookcase 5-Shelf"/>
    <n v="2621.4299999999998"/>
    <n v="7"/>
    <n v="0"/>
    <n v="277.02"/>
    <s v="Priya Sharma"/>
    <x v="3"/>
  </r>
  <r>
    <s v="ORD-2025-10145"/>
    <d v="2025-01-08T00:00:00"/>
    <x v="3"/>
    <x v="1"/>
    <s v="Appliances"/>
    <s v="Office Microwave"/>
    <n v="426.11"/>
    <n v="5"/>
    <n v="0.15"/>
    <n v="25.99"/>
    <s v="Neha Singh"/>
    <x v="0"/>
  </r>
  <r>
    <s v="ORD-2025-10168"/>
    <d v="2025-02-17T00:00:00"/>
    <x v="0"/>
    <x v="1"/>
    <s v="Pens &amp; Art"/>
    <s v="Desktop Organizer Box"/>
    <n v="288.79000000000002"/>
    <n v="9"/>
    <n v="0.2"/>
    <n v="-5.42"/>
    <s v="Rahul Verma"/>
    <x v="0"/>
  </r>
  <r>
    <s v="ORD-2024-10091"/>
    <d v="2024-12-08T00:00:00"/>
    <x v="0"/>
    <x v="2"/>
    <s v="Machines"/>
    <s v="Mechanical Keyboard"/>
    <n v="10266.56"/>
    <n v="8"/>
    <n v="0"/>
    <n v="4003.56"/>
    <s v="Rahul Verma"/>
    <x v="3"/>
  </r>
  <r>
    <s v="ORD-2025-10224"/>
    <d v="2025-07-14T00:00:00"/>
    <x v="3"/>
    <x v="0"/>
    <s v="Furnishings"/>
    <s v="Lounge Sofa Seat"/>
    <n v="507.76"/>
    <n v="6"/>
    <n v="0.15"/>
    <n v="-50.49"/>
    <s v="Neha Singh"/>
    <x v="0"/>
  </r>
  <r>
    <s v="ORD-2024-10067"/>
    <d v="2024-06-09T00:00:00"/>
    <x v="0"/>
    <x v="1"/>
    <s v="Appliances"/>
    <s v="Gel Pens 12-Pack"/>
    <n v="100.13"/>
    <n v="2"/>
    <n v="0.2"/>
    <n v="-1.51"/>
    <s v="Rahul Verma"/>
    <x v="0"/>
  </r>
  <r>
    <s v="ORD-2024-10117"/>
    <d v="2024-10-09T00:00:00"/>
    <x v="2"/>
    <x v="1"/>
    <s v="Pens &amp; Art"/>
    <s v="Stapler Executive Pro"/>
    <n v="25.74"/>
    <n v="1"/>
    <n v="0.15"/>
    <n v="1.68"/>
    <s v="Priya Sharma"/>
    <x v="0"/>
  </r>
  <r>
    <s v="ORD-2025-10173"/>
    <d v="2025-02-25T00:00:00"/>
    <x v="3"/>
    <x v="1"/>
    <s v="Storage"/>
    <s v="Whiteboard Markers 8-Pack"/>
    <n v="602.82000000000005"/>
    <n v="6"/>
    <n v="0"/>
    <n v="154.91999999999999"/>
    <s v="Neha Singh"/>
    <x v="3"/>
  </r>
  <r>
    <s v="ORD-2025-10251"/>
    <d v="2025-09-16T00:00:00"/>
    <x v="3"/>
    <x v="0"/>
    <s v="Furnishings"/>
    <s v="Conference Table 8ft"/>
    <n v="1644.27"/>
    <n v="4"/>
    <n v="0.15"/>
    <n v="-160.52000000000001"/>
    <s v="Neha Singh"/>
    <x v="0"/>
  </r>
  <r>
    <s v="ORD-2024-10020"/>
    <d v="2024-02-17T00:00:00"/>
    <x v="2"/>
    <x v="1"/>
    <s v="Storage"/>
    <s v="Desktop Organizer Box"/>
    <n v="111.93"/>
    <n v="2"/>
    <n v="0.15"/>
    <n v="6.85"/>
    <s v="Priya Sharma"/>
    <x v="0"/>
  </r>
  <r>
    <s v="ORD-2025-10147"/>
    <d v="2025-01-13T00:00:00"/>
    <x v="3"/>
    <x v="2"/>
    <s v="Copiers"/>
    <s v="Business Router Max"/>
    <n v="3391.79"/>
    <n v="6"/>
    <n v="0.1"/>
    <n v="896.22"/>
    <s v="Neha Singh"/>
    <x v="3"/>
  </r>
  <r>
    <s v="ORD-2025-10299"/>
    <d v="2025-12-30T00:00:00"/>
    <x v="0"/>
    <x v="2"/>
    <s v="Accessories"/>
    <s v="Dual Screen Monitor"/>
    <n v="953.14"/>
    <n v="1"/>
    <n v="0"/>
    <n v="353.86"/>
    <s v="Rahul Verma"/>
    <x v="3"/>
  </r>
  <r>
    <s v="ORD-2025-10288"/>
    <d v="2025-12-01T00:00:00"/>
    <x v="0"/>
    <x v="0"/>
    <s v="Tables"/>
    <s v="Wooden Bookcase 5-Shelf"/>
    <n v="1690.24"/>
    <n v="10"/>
    <n v="0.2"/>
    <n v="-230.38"/>
    <s v="Rahul Verma"/>
    <x v="0"/>
  </r>
  <r>
    <s v="ORD-2024-10073"/>
    <d v="2024-06-07T00:00:00"/>
    <x v="2"/>
    <x v="2"/>
    <s v="Accessories"/>
    <s v="Mechanical Keyboard"/>
    <n v="1466.31"/>
    <n v="4"/>
    <n v="0.05"/>
    <n v="430.33"/>
    <s v="Priya Sharma"/>
    <x v="3"/>
  </r>
  <r>
    <s v="ORD-2024-10016"/>
    <d v="2024-02-05T00:00:00"/>
    <x v="2"/>
    <x v="2"/>
    <s v="Accessories"/>
    <s v="HD Web Camera"/>
    <n v="245.45"/>
    <n v="1"/>
    <n v="0"/>
    <n v="89.86"/>
    <s v="Priya Sharma"/>
    <x v="3"/>
  </r>
  <r>
    <s v="ORD-2024-10011"/>
    <d v="2024-01-22T00:00:00"/>
    <x v="0"/>
    <x v="1"/>
    <s v="Binders"/>
    <s v="Desktop Organizer Box"/>
    <n v="326.57"/>
    <n v="4"/>
    <n v="0.05"/>
    <n v="59.11"/>
    <s v="Rahul Verma"/>
    <x v="3"/>
  </r>
  <r>
    <s v="ORD-2025-10274"/>
    <d v="2025-11-03T00:00:00"/>
    <x v="1"/>
    <x v="0"/>
    <s v="Tables"/>
    <s v="Conference Table 8ft"/>
    <n v="168.25"/>
    <n v="3"/>
    <n v="0.4"/>
    <n v="-70.55"/>
    <s v="Ankit Gupta"/>
    <x v="2"/>
  </r>
  <r>
    <s v="ORD-2025-10239"/>
    <d v="2025-08-15T00:00:00"/>
    <x v="1"/>
    <x v="2"/>
    <s v="Phones"/>
    <s v="Business Router Max"/>
    <n v="1278.02"/>
    <n v="4"/>
    <n v="0.4"/>
    <n v="-198.83"/>
    <s v="Ankit Gupta"/>
    <x v="2"/>
  </r>
  <r>
    <s v="ORD-2024-10098"/>
    <d v="2024-08-21T00:00:00"/>
    <x v="0"/>
    <x v="2"/>
    <s v="Copiers"/>
    <s v="Wireless Headset Pro"/>
    <n v="12325.5"/>
    <n v="10"/>
    <n v="0"/>
    <n v="4608.3599999999997"/>
    <s v="Rahul Verma"/>
    <x v="3"/>
  </r>
  <r>
    <s v="ORD-2024-10069"/>
    <d v="2024-06-15T00:00:00"/>
    <x v="0"/>
    <x v="0"/>
    <s v="Bookcases"/>
    <s v="Wooden Bookcase 5-Shelf"/>
    <n v="1494.25"/>
    <n v="7"/>
    <n v="0.05"/>
    <n v="85.35"/>
    <s v="Rahul Verma"/>
    <x v="3"/>
  </r>
  <r>
    <s v="ORD-2025-10241"/>
    <d v="2025-08-30T00:00:00"/>
    <x v="0"/>
    <x v="1"/>
    <s v="Paper"/>
    <s v="Stapler Executive Pro"/>
    <n v="634.62"/>
    <n v="10"/>
    <n v="0.4"/>
    <n v="-185.01"/>
    <s v="Rahul Verma"/>
    <x v="2"/>
  </r>
  <r>
    <s v="ORD-2024-10038"/>
    <d v="2024-04-12T00:00:00"/>
    <x v="2"/>
    <x v="1"/>
    <s v="Pens &amp; Art"/>
    <s v="Office Microwave"/>
    <n v="305.26"/>
    <n v="9"/>
    <n v="0.4"/>
    <n v="-92.74"/>
    <s v="Priya Sharma"/>
    <x v="2"/>
  </r>
  <r>
    <s v="ORD-2024-10017"/>
    <d v="2024-02-06T00:00:00"/>
    <x v="3"/>
    <x v="2"/>
    <s v="Accessories"/>
    <s v="Business Router Max"/>
    <n v="3803.53"/>
    <n v="7"/>
    <n v="0.3"/>
    <n v="-80.5"/>
    <s v="Neha Singh"/>
    <x v="1"/>
  </r>
  <r>
    <s v="ORD-2025-10155"/>
    <d v="2025-01-22T00:00:00"/>
    <x v="2"/>
    <x v="2"/>
    <s v="Machines"/>
    <s v="Wireless Headset Pro"/>
    <n v="1138.07"/>
    <n v="2"/>
    <n v="0.4"/>
    <n v="-197.28"/>
    <s v="Priya Sharma"/>
    <x v="2"/>
  </r>
  <r>
    <s v="ORD-2025-10279"/>
    <d v="2025-11-14T00:00:00"/>
    <x v="0"/>
    <x v="2"/>
    <s v="Accessories"/>
    <s v="Wireless Headset Pro"/>
    <n v="3997.32"/>
    <n v="3"/>
    <n v="0.1"/>
    <n v="1025.77"/>
    <s v="Rahul Verma"/>
    <x v="3"/>
  </r>
  <r>
    <s v="ORD-2024-10068"/>
    <d v="2024-06-10T00:00:00"/>
    <x v="0"/>
    <x v="0"/>
    <s v="Chairs"/>
    <s v="Executive Leather Chair"/>
    <n v="2405.9299999999998"/>
    <n v="7"/>
    <n v="0.2"/>
    <n v="-370.28"/>
    <s v="Rahul Verma"/>
    <x v="0"/>
  </r>
  <r>
    <s v="ORD-2024-10112"/>
    <d v="2024-09-27T00:00:00"/>
    <x v="0"/>
    <x v="1"/>
    <s v="Storage"/>
    <s v="Copy Paper 500 Sheets"/>
    <n v="309.56"/>
    <n v="3"/>
    <n v="0.1"/>
    <n v="32.090000000000003"/>
    <s v="Rahul Verma"/>
    <x v="3"/>
  </r>
  <r>
    <s v="ORD-2024-10070"/>
    <d v="2024-06-19T00:00:00"/>
    <x v="0"/>
    <x v="2"/>
    <s v="Copiers"/>
    <s v="Business Router Max"/>
    <n v="770.67"/>
    <n v="1"/>
    <n v="0.15"/>
    <n v="130.22999999999999"/>
    <s v="Rahul Verma"/>
    <x v="0"/>
  </r>
  <r>
    <s v="ORD-2024-10032"/>
    <d v="2024-04-01T00:00:00"/>
    <x v="0"/>
    <x v="2"/>
    <s v="Machines"/>
    <s v="HD Web Camera"/>
    <n v="1321.29"/>
    <n v="1"/>
    <n v="0"/>
    <n v="478.87"/>
    <s v="Rahul Verma"/>
    <x v="3"/>
  </r>
  <r>
    <s v="ORD-2025-10184"/>
    <d v="2025-05-04T00:00:00"/>
    <x v="2"/>
    <x v="1"/>
    <s v="Appliances"/>
    <s v="Gel Pens 12-Pack"/>
    <n v="238.4"/>
    <n v="4"/>
    <n v="0.2"/>
    <n v="-2.15"/>
    <s v="Priya Sharma"/>
    <x v="0"/>
  </r>
  <r>
    <s v="ORD-2025-10158"/>
    <d v="2025-01-27T00:00:00"/>
    <x v="0"/>
    <x v="0"/>
    <s v="Chairs"/>
    <s v="Filing Cabinet 3-Drawer"/>
    <n v="1206.74"/>
    <n v="4"/>
    <n v="0.4"/>
    <n v="-486.9"/>
    <s v="Rahul Verma"/>
    <x v="2"/>
  </r>
  <r>
    <s v="ORD-2025-10238"/>
    <d v="2025-08-09T00:00:00"/>
    <x v="0"/>
    <x v="2"/>
    <s v="Accessories"/>
    <s v="Laser Copier 3000"/>
    <n v="4036.17"/>
    <n v="10"/>
    <n v="0.05"/>
    <n v="1297.01"/>
    <s v="Rahul Verma"/>
    <x v="3"/>
  </r>
  <r>
    <s v="ORD-2024-10125"/>
    <d v="2024-11-11T00:00:00"/>
    <x v="0"/>
    <x v="0"/>
    <s v="Bookcases"/>
    <s v="Executive Leather Chair"/>
    <n v="4455.5200000000004"/>
    <n v="8"/>
    <n v="0"/>
    <n v="568.05999999999995"/>
    <s v="Rahul Verma"/>
    <x v="3"/>
  </r>
  <r>
    <s v="ORD-2024-10019"/>
    <d v="2024-02-10T00:00:00"/>
    <x v="3"/>
    <x v="2"/>
    <s v="Copiers"/>
    <s v="Workstation PC Pro"/>
    <n v="1776.41"/>
    <n v="7"/>
    <n v="0.05"/>
    <n v="551.84"/>
    <s v="Neha Singh"/>
    <x v="3"/>
  </r>
  <r>
    <s v="ORD-2025-10259"/>
    <d v="2025-03-10T00:00:00"/>
    <x v="2"/>
    <x v="2"/>
    <s v="Accessories"/>
    <s v="HD Web Camera"/>
    <n v="8966.94"/>
    <n v="8"/>
    <n v="0.05"/>
    <n v="2913.9"/>
    <s v="Priya Sharma"/>
    <x v="3"/>
  </r>
  <r>
    <s v="ORD-2024-10097"/>
    <d v="2024-08-20T00:00:00"/>
    <x v="1"/>
    <x v="0"/>
    <s v="Tables"/>
    <s v="Conference Table 8ft"/>
    <n v="1551.56"/>
    <n v="4"/>
    <n v="0"/>
    <n v="198.43"/>
    <s v="Ankit Gupta"/>
    <x v="3"/>
  </r>
  <r>
    <s v="ORD-2024-10140"/>
    <d v="2024-12-13T00:00:00"/>
    <x v="3"/>
    <x v="1"/>
    <s v="Storage"/>
    <s v="Heavy Duty Binder"/>
    <n v="127.35"/>
    <n v="2"/>
    <n v="0.1"/>
    <n v="17.149999999999999"/>
    <s v="Neha Singh"/>
    <x v="3"/>
  </r>
  <r>
    <s v="ORD-2024-10133"/>
    <d v="2024-05-12T00:00:00"/>
    <x v="2"/>
    <x v="2"/>
    <s v="Machines"/>
    <s v="Wireless Headset Pro"/>
    <n v="3603.66"/>
    <n v="7"/>
    <n v="0.2"/>
    <n v="370.61"/>
    <s v="Priya Sharma"/>
    <x v="0"/>
  </r>
  <r>
    <s v="ORD-2024-10087"/>
    <d v="2024-05-08T00:00:00"/>
    <x v="0"/>
    <x v="0"/>
    <s v="Furnishings"/>
    <s v="Standing Desk Frame"/>
    <n v="3556.22"/>
    <n v="7"/>
    <n v="0.05"/>
    <n v="235.14"/>
    <s v="Rahul Verma"/>
    <x v="3"/>
  </r>
  <r>
    <s v="ORD-2025-10261"/>
    <d v="2025-10-07T00:00:00"/>
    <x v="3"/>
    <x v="1"/>
    <s v="Binders"/>
    <s v="Stapler Executive Pro"/>
    <n v="709.82"/>
    <n v="9"/>
    <n v="0.3"/>
    <n v="-96.13"/>
    <s v="Neha Singh"/>
    <x v="1"/>
  </r>
  <r>
    <s v="ORD-2025-10153"/>
    <d v="2025-01-21T00:00:00"/>
    <x v="1"/>
    <x v="0"/>
    <s v="Furnishings"/>
    <s v="Standing Desk Frame"/>
    <n v="1623.76"/>
    <n v="8"/>
    <n v="0.5"/>
    <n v="-931.33"/>
    <s v="Ankit Gupta"/>
    <x v="2"/>
  </r>
  <r>
    <s v="ORD-2024-10126"/>
    <d v="2024-11-13T00:00:00"/>
    <x v="0"/>
    <x v="1"/>
    <s v="Storage"/>
    <s v="Gel Pens 12-Pack"/>
    <n v="574.78"/>
    <n v="9"/>
    <n v="0.1"/>
    <n v="69.489999999999995"/>
    <s v="Rahul Verma"/>
    <x v="3"/>
  </r>
  <r>
    <s v="ORD-2025-10262"/>
    <d v="2025-08-10T00:00:00"/>
    <x v="2"/>
    <x v="1"/>
    <s v="Appliances"/>
    <s v="File Folders 100-Pack"/>
    <n v="128.72"/>
    <n v="4"/>
    <n v="0.15"/>
    <n v="5.38"/>
    <s v="Priya Sharma"/>
    <x v="0"/>
  </r>
  <r>
    <s v="ORD-2025-10205"/>
    <d v="2025-05-17T00:00:00"/>
    <x v="0"/>
    <x v="2"/>
    <s v="Phones"/>
    <s v="Wireless Headset Pro"/>
    <n v="3266.96"/>
    <n v="4"/>
    <n v="0.3"/>
    <n v="-92.15"/>
    <s v="Rahul Verma"/>
    <x v="1"/>
  </r>
  <r>
    <s v="ORD-2024-10093"/>
    <d v="2024-08-18T00:00:00"/>
    <x v="1"/>
    <x v="2"/>
    <s v="Accessories"/>
    <s v="Dual Screen Monitor"/>
    <n v="9796.31"/>
    <n v="10"/>
    <n v="0.05"/>
    <n v="2958.9"/>
    <s v="Ankit Gupta"/>
    <x v="3"/>
  </r>
  <r>
    <s v="ORD-2025-10295"/>
    <d v="2025-12-25T00:00:00"/>
    <x v="0"/>
    <x v="2"/>
    <s v="Phones"/>
    <s v="Mechanical Keyboard"/>
    <n v="2332.77"/>
    <n v="3"/>
    <n v="0"/>
    <n v="844.52"/>
    <s v="Rahul Verma"/>
    <x v="3"/>
  </r>
  <r>
    <s v="ORD-2025-10176"/>
    <d v="2025-03-14T00:00:00"/>
    <x v="3"/>
    <x v="1"/>
    <s v="Binders"/>
    <s v="Desktop Organizer Box"/>
    <n v="12.74"/>
    <n v="1"/>
    <n v="0.15"/>
    <n v="0.86"/>
    <s v="Neha Singh"/>
    <x v="0"/>
  </r>
  <r>
    <s v="ORD-2025-10194"/>
    <d v="2025-04-19T00:00:00"/>
    <x v="0"/>
    <x v="1"/>
    <s v="Appliances"/>
    <s v="Whiteboard Markers 8-Pack"/>
    <n v="26.14"/>
    <n v="2"/>
    <n v="0.5"/>
    <n v="-10.88"/>
    <s v="Rahul Verma"/>
    <x v="2"/>
  </r>
  <r>
    <s v="ORD-2025-10219"/>
    <d v="2025-07-04T00:00:00"/>
    <x v="1"/>
    <x v="0"/>
    <s v="Bookcases"/>
    <s v="Standing Desk Frame"/>
    <n v="1237.25"/>
    <n v="3"/>
    <n v="0.1"/>
    <n v="-38.22"/>
    <s v="Ankit Gupta"/>
    <x v="3"/>
  </r>
  <r>
    <s v="ORD-2025-10293"/>
    <d v="2025-12-11T00:00:00"/>
    <x v="0"/>
    <x v="1"/>
    <s v="Appliances"/>
    <s v="Desktop Organizer Box"/>
    <n v="266.3"/>
    <n v="6"/>
    <n v="0.2"/>
    <n v="-0.26"/>
    <s v="Rahul Verma"/>
    <x v="0"/>
  </r>
  <r>
    <s v="ORD-2024-10130"/>
    <d v="2024-12-03T00:00:00"/>
    <x v="1"/>
    <x v="2"/>
    <s v="Copiers"/>
    <s v="Mechanical Keyboard"/>
    <n v="708.64"/>
    <n v="4"/>
    <n v="0"/>
    <n v="283.44"/>
    <s v="Ankit Gupta"/>
    <x v="3"/>
  </r>
  <r>
    <s v="ORD-2024-10039"/>
    <d v="2024-04-13T00:00:00"/>
    <x v="3"/>
    <x v="1"/>
    <s v="Storage"/>
    <s v="Gel Pens 12-Pack"/>
    <n v="582.79999999999995"/>
    <n v="10"/>
    <n v="0.5"/>
    <n v="-257.92"/>
    <s v="Neha Singh"/>
    <x v="2"/>
  </r>
  <r>
    <s v="ORD-2025-10178"/>
    <d v="2025-03-28T00:00:00"/>
    <x v="2"/>
    <x v="0"/>
    <s v="Bookcases"/>
    <s v="Filing Cabinet 3-Drawer"/>
    <n v="809.38"/>
    <n v="3"/>
    <n v="0.3"/>
    <n v="-225.66"/>
    <s v="Priya Sharma"/>
    <x v="1"/>
  </r>
  <r>
    <s v="ORD-2025-10144"/>
    <d v="2025-01-07T00:00:00"/>
    <x v="2"/>
    <x v="1"/>
    <s v="Paper"/>
    <s v="Copy Paper 500 Sheets"/>
    <n v="226.18"/>
    <n v="7"/>
    <n v="0.2"/>
    <n v="-0.59"/>
    <s v="Priya Sharma"/>
    <x v="0"/>
  </r>
  <r>
    <s v="ORD-2024-10113"/>
    <d v="2024-09-27T00:00:00"/>
    <x v="3"/>
    <x v="0"/>
    <s v="Furnishings"/>
    <s v="Executive Leather Chair"/>
    <n v="3494.37"/>
    <n v="9"/>
    <n v="0.15"/>
    <n v="-221.12"/>
    <s v="Neha Singh"/>
    <x v="0"/>
  </r>
  <r>
    <s v="ORD-2025-10177"/>
    <d v="2025-03-17T00:00:00"/>
    <x v="2"/>
    <x v="1"/>
    <s v="Binders"/>
    <s v="Copy Paper 500 Sheets"/>
    <n v="306.35000000000002"/>
    <n v="9"/>
    <n v="0.05"/>
    <n v="54.54"/>
    <s v="Priya Sharma"/>
    <x v="3"/>
  </r>
  <r>
    <s v="ORD-2024-10118"/>
    <d v="2024-10-15T00:00:00"/>
    <x v="1"/>
    <x v="2"/>
    <s v="Machines"/>
    <s v="Wireless Headset Pro"/>
    <n v="4255.5200000000004"/>
    <n v="7"/>
    <n v="0.4"/>
    <n v="-753.38"/>
    <s v="Ankit Gupta"/>
    <x v="2"/>
  </r>
  <r>
    <s v="ORD-2025-10286"/>
    <d v="2025-11-29T00:00:00"/>
    <x v="0"/>
    <x v="1"/>
    <s v="Appliances"/>
    <s v="Office Microwave"/>
    <n v="579.69000000000005"/>
    <n v="5"/>
    <n v="0.1"/>
    <n v="69.8"/>
    <s v="Rahul Verma"/>
    <x v="3"/>
  </r>
  <r>
    <s v="ORD-2025-10280"/>
    <d v="2025-11-14T00:00:00"/>
    <x v="0"/>
    <x v="1"/>
    <s v="Binders"/>
    <s v="Stapler Executive Pro"/>
    <n v="319.25"/>
    <n v="6"/>
    <n v="0.4"/>
    <n v="-88.7"/>
    <s v="Rahul Verma"/>
    <x v="2"/>
  </r>
  <r>
    <s v="ORD-2025-10246"/>
    <d v="2025-09-04T00:00:00"/>
    <x v="0"/>
    <x v="0"/>
    <s v="Chairs"/>
    <s v="Desk Lamp LED"/>
    <n v="3785.16"/>
    <n v="6"/>
    <n v="0"/>
    <n v="441.33"/>
    <s v="Rahul Verma"/>
    <x v="3"/>
  </r>
  <r>
    <s v="ORD-2025-10186"/>
    <d v="2025-04-06T00:00:00"/>
    <x v="2"/>
    <x v="0"/>
    <s v="Tables"/>
    <s v="Conference Table 8ft"/>
    <n v="402.56"/>
    <n v="1"/>
    <n v="0.05"/>
    <n v="13.32"/>
    <s v="Priya Sharma"/>
    <x v="3"/>
  </r>
  <r>
    <s v="ORD-2025-10234"/>
    <d v="2025-07-27T00:00:00"/>
    <x v="3"/>
    <x v="1"/>
    <s v="Appliances"/>
    <s v="Copy Paper 500 Sheets"/>
    <n v="283.70999999999998"/>
    <n v="7"/>
    <n v="0.5"/>
    <n v="-122.14"/>
    <s v="Neha Singh"/>
    <x v="2"/>
  </r>
  <r>
    <s v="ORD-2024-10003"/>
    <d v="2024-02-01T00:00:00"/>
    <x v="3"/>
    <x v="0"/>
    <s v="Tables"/>
    <s v="Ergonomic Mesh Chair"/>
    <n v="2342.65"/>
    <n v="9"/>
    <n v="0.3"/>
    <n v="-693.85"/>
    <s v="Neha Singh"/>
    <x v="1"/>
  </r>
  <r>
    <s v="ORD-2024-10116"/>
    <d v="2024-10-06T00:00:00"/>
    <x v="1"/>
    <x v="1"/>
    <s v="Paper"/>
    <s v="File Folders 100-Pack"/>
    <n v="18.09"/>
    <n v="1"/>
    <n v="0.15"/>
    <n v="0.84"/>
    <s v="Ankit Gupta"/>
    <x v="0"/>
  </r>
  <r>
    <s v="ORD-2025-10195"/>
    <d v="2025-04-20T00:00:00"/>
    <x v="0"/>
    <x v="1"/>
    <s v="Paper"/>
    <s v="Whiteboard Markers 8-Pack"/>
    <n v="208.85"/>
    <n v="4"/>
    <n v="0.3"/>
    <n v="-33.72"/>
    <s v="Rahul Verma"/>
    <x v="1"/>
  </r>
  <r>
    <s v="ORD-2025-10187"/>
    <d v="2025-04-08T00:00:00"/>
    <x v="0"/>
    <x v="2"/>
    <s v="Accessories"/>
    <s v="Workstation PC Pro"/>
    <n v="1041.05"/>
    <n v="5"/>
    <n v="0"/>
    <n v="380.06"/>
    <s v="Rahul Verma"/>
    <x v="3"/>
  </r>
  <r>
    <s v="ORD-2024-10121"/>
    <d v="2024-10-24T00:00:00"/>
    <x v="0"/>
    <x v="1"/>
    <s v="Pens &amp; Art"/>
    <s v="File Folders 100-Pack"/>
    <n v="480.97"/>
    <n v="5"/>
    <n v="0.3"/>
    <n v="-78.290000000000006"/>
    <s v="Rahul Verma"/>
    <x v="1"/>
  </r>
  <r>
    <s v="ORD-2025-10223"/>
    <d v="2025-07-10T00:00:00"/>
    <x v="3"/>
    <x v="1"/>
    <s v="Storage"/>
    <s v="Office Microwave"/>
    <n v="225.18"/>
    <n v="6"/>
    <n v="0.5"/>
    <n v="-99.54"/>
    <s v="Neha Singh"/>
    <x v="2"/>
  </r>
  <r>
    <s v="ORD-2025-10268"/>
    <d v="2025-10-21T00:00:00"/>
    <x v="1"/>
    <x v="0"/>
    <s v="Bookcases"/>
    <s v="Lounge Sofa Seat"/>
    <n v="428.48"/>
    <n v="6"/>
    <n v="0.3"/>
    <n v="-125.98"/>
    <s v="Ankit Gupta"/>
    <x v="1"/>
  </r>
  <r>
    <s v="ORD-2024-10128"/>
    <d v="2024-11-26T00:00:00"/>
    <x v="0"/>
    <x v="2"/>
    <s v="Copiers"/>
    <s v="HD Web Camera"/>
    <n v="1227.48"/>
    <n v="5"/>
    <n v="0.3"/>
    <n v="-8.9499999999999993"/>
    <s v="Rahul Verma"/>
    <x v="1"/>
  </r>
  <r>
    <s v="ORD-2024-10075"/>
    <d v="2024-07-08T00:00:00"/>
    <x v="1"/>
    <x v="1"/>
    <s v="Appliances"/>
    <s v="Gel Pens 12-Pack"/>
    <n v="373.88"/>
    <n v="7"/>
    <n v="0.4"/>
    <n v="-109.93"/>
    <s v="Ankit Gupta"/>
    <x v="2"/>
  </r>
  <r>
    <s v="ORD-2024-10030"/>
    <d v="2024-03-26T00:00:00"/>
    <x v="3"/>
    <x v="2"/>
    <s v="Accessories"/>
    <s v="Laser Copier 3000"/>
    <n v="5457.12"/>
    <n v="10"/>
    <n v="0.4"/>
    <n v="-929.24"/>
    <s v="Neha Singh"/>
    <x v="2"/>
  </r>
  <r>
    <s v="ORD-2024-10084"/>
    <d v="2024-07-26T00:00:00"/>
    <x v="2"/>
    <x v="1"/>
    <s v="Binders"/>
    <s v="Gel Pens 12-Pack"/>
    <n v="711.34"/>
    <n v="7"/>
    <n v="0"/>
    <n v="187.99"/>
    <s v="Priya Sharma"/>
    <x v="3"/>
  </r>
  <r>
    <s v="ORD-2025-10257"/>
    <d v="2025-01-10T00:00:00"/>
    <x v="0"/>
    <x v="1"/>
    <s v="Storage"/>
    <s v="Office Microwave"/>
    <n v="691.56"/>
    <n v="6"/>
    <n v="0"/>
    <n v="168.6"/>
    <s v="Rahul Verma"/>
    <x v="3"/>
  </r>
  <r>
    <s v="ORD-2024-10108"/>
    <d v="2024-09-15T00:00:00"/>
    <x v="3"/>
    <x v="0"/>
    <s v="Furnishings"/>
    <s v="Lounge Sofa Seat"/>
    <n v="836.96"/>
    <n v="2"/>
    <n v="0.15"/>
    <n v="-78.37"/>
    <s v="Neha Singh"/>
    <x v="0"/>
  </r>
  <r>
    <s v="ORD-2025-10291"/>
    <d v="2025-10-12T00:00:00"/>
    <x v="0"/>
    <x v="1"/>
    <s v="Storage"/>
    <s v="File Folders 100-Pack"/>
    <n v="274.70999999999998"/>
    <n v="7"/>
    <n v="0.15"/>
    <n v="12.54"/>
    <s v="Rahul Verma"/>
    <x v="0"/>
  </r>
  <r>
    <s v="ORD-2025-10166"/>
    <d v="2025-02-10T00:00:00"/>
    <x v="0"/>
    <x v="0"/>
    <s v="Bookcases"/>
    <s v="Wooden Bookcase 5-Shelf"/>
    <n v="432.11"/>
    <n v="1"/>
    <n v="0.15"/>
    <n v="-30.66"/>
    <s v="Rahul Verma"/>
    <x v="0"/>
  </r>
  <r>
    <s v="ORD-2024-10134"/>
    <d v="2024-12-05T00:00:00"/>
    <x v="1"/>
    <x v="1"/>
    <s v="Binders"/>
    <s v="Desktop Organizer Box"/>
    <n v="314.7"/>
    <n v="8"/>
    <n v="0.15"/>
    <n v="16.989999999999998"/>
    <s v="Ankit Gupta"/>
    <x v="0"/>
  </r>
  <r>
    <s v="ORD-2025-10283"/>
    <d v="2025-11-21T00:00:00"/>
    <x v="0"/>
    <x v="2"/>
    <s v="Copiers"/>
    <s v="Laser Copier 3000"/>
    <n v="11455.46"/>
    <n v="9"/>
    <n v="0.05"/>
    <n v="3702.53"/>
    <s v="Rahul Verma"/>
    <x v="3"/>
  </r>
  <r>
    <s v="ORD-2025-10229"/>
    <d v="2025-07-18T00:00:00"/>
    <x v="0"/>
    <x v="1"/>
    <s v="Appliances"/>
    <s v="Desktop Organizer Box"/>
    <n v="218.89"/>
    <n v="5"/>
    <n v="0.3"/>
    <n v="-34.729999999999997"/>
    <s v="Rahul Verma"/>
    <x v="1"/>
  </r>
  <r>
    <s v="ORD-2024-10066"/>
    <d v="2024-08-06T00:00:00"/>
    <x v="2"/>
    <x v="0"/>
    <s v="Tables"/>
    <s v="Executive Leather Chair"/>
    <n v="721.56"/>
    <n v="7"/>
    <n v="0"/>
    <n v="87.16"/>
    <s v="Priya Sharma"/>
    <x v="3"/>
  </r>
  <r>
    <s v="ORD-2025-10210"/>
    <d v="2025-05-24T00:00:00"/>
    <x v="3"/>
    <x v="0"/>
    <s v="Bookcases"/>
    <s v="Ergonomic Mesh Chair"/>
    <n v="1946.7"/>
    <n v="10"/>
    <n v="0"/>
    <n v="195.27"/>
    <s v="Neha Singh"/>
    <x v="3"/>
  </r>
  <r>
    <s v="ORD-2024-10086"/>
    <d v="2024-04-08T00:00:00"/>
    <x v="3"/>
    <x v="1"/>
    <s v="Pens &amp; Art"/>
    <s v="Gel Pens 12-Pack"/>
    <n v="222.98"/>
    <n v="5"/>
    <n v="0.3"/>
    <n v="-34.69"/>
    <s v="Neha Singh"/>
    <x v="1"/>
  </r>
  <r>
    <s v="ORD-2025-10226"/>
    <d v="2025-07-16T00:00:00"/>
    <x v="0"/>
    <x v="1"/>
    <s v="Appliances"/>
    <s v="Gel Pens 12-Pack"/>
    <n v="226.84"/>
    <n v="8"/>
    <n v="0.5"/>
    <n v="-99.57"/>
    <s v="Rahul Verma"/>
    <x v="2"/>
  </r>
  <r>
    <s v="ORD-2024-10013"/>
    <d v="2024-01-28T00:00:00"/>
    <x v="2"/>
    <x v="0"/>
    <s v="Bookcases"/>
    <s v="Filing Cabinet 3-Drawer"/>
    <n v="701.54"/>
    <n v="4"/>
    <n v="0.2"/>
    <n v="-113.3"/>
    <s v="Priya Sharma"/>
    <x v="0"/>
  </r>
  <r>
    <s v="ORD-2024-10036"/>
    <d v="2024-08-04T00:00:00"/>
    <x v="0"/>
    <x v="2"/>
    <s v="Accessories"/>
    <s v="Laser Copier 3000"/>
    <n v="5190.62"/>
    <n v="8"/>
    <n v="0.1"/>
    <n v="1347.41"/>
    <s v="Rahul Verma"/>
    <x v="3"/>
  </r>
  <r>
    <s v="ORD-2024-10029"/>
    <d v="2024-03-21T00:00:00"/>
    <x v="0"/>
    <x v="2"/>
    <s v="Phones"/>
    <s v="Workstation PC Pro"/>
    <n v="953.7"/>
    <n v="4"/>
    <n v="0.15"/>
    <n v="175.73"/>
    <s v="Rahul Verma"/>
    <x v="0"/>
  </r>
  <r>
    <s v="ORD-2025-10171"/>
    <d v="2025-02-22T00:00:00"/>
    <x v="1"/>
    <x v="0"/>
    <s v="Tables"/>
    <s v="Filing Cabinet 3-Drawer"/>
    <n v="4197.46"/>
    <n v="9"/>
    <n v="0.2"/>
    <n v="-698.41"/>
    <s v="Ankit Gupta"/>
    <x v="0"/>
  </r>
  <r>
    <s v="ORD-2025-10143"/>
    <d v="2025-01-01T00:00:00"/>
    <x v="1"/>
    <x v="1"/>
    <s v="Appliances"/>
    <s v="Desktop Organizer Box"/>
    <n v="260.95"/>
    <n v="10"/>
    <n v="0.5"/>
    <n v="-108.33"/>
    <s v="Ankit Gupta"/>
    <x v="2"/>
  </r>
  <r>
    <s v="ORD-2025-10255"/>
    <d v="2025-09-29T00:00:00"/>
    <x v="0"/>
    <x v="2"/>
    <s v="Accessories"/>
    <s v="Wireless Headset Pro"/>
    <n v="5247.42"/>
    <n v="6"/>
    <n v="0"/>
    <n v="2089.19"/>
    <s v="Rahul Verma"/>
    <x v="3"/>
  </r>
  <r>
    <s v="ORD-2024-10132"/>
    <d v="2024-03-12T00:00:00"/>
    <x v="0"/>
    <x v="0"/>
    <s v="Furnishings"/>
    <s v="Executive Leather Chair"/>
    <n v="1525.79"/>
    <n v="10"/>
    <n v="0.3"/>
    <n v="-426.62"/>
    <s v="Rahul Verma"/>
    <x v="1"/>
  </r>
  <r>
    <s v="ORD-2025-10181"/>
    <d v="2025-03-31T00:00:00"/>
    <x v="1"/>
    <x v="1"/>
    <s v="Storage"/>
    <s v="Stapler Executive Pro"/>
    <n v="74.97"/>
    <n v="5"/>
    <n v="0.1"/>
    <n v="10.029999999999999"/>
    <s v="Ankit Gupta"/>
    <x v="3"/>
  </r>
  <r>
    <s v="ORD-2024-10052"/>
    <d v="2024-10-05T00:00:00"/>
    <x v="0"/>
    <x v="0"/>
    <s v="Furnishings"/>
    <s v="Executive Leather Chair"/>
    <n v="733.36"/>
    <n v="6"/>
    <n v="0.05"/>
    <n v="42.52"/>
    <s v="Rahul Verma"/>
    <x v="3"/>
  </r>
  <r>
    <s v="ORD-2024-10096"/>
    <d v="2024-08-20T00:00:00"/>
    <x v="3"/>
    <x v="1"/>
    <s v="Binders"/>
    <s v="Heavy Duty Binder"/>
    <n v="785.26"/>
    <n v="10"/>
    <n v="0.3"/>
    <n v="-124.96"/>
    <s v="Neha Singh"/>
    <x v="1"/>
  </r>
  <r>
    <s v="ORD-2025-10179"/>
    <d v="2025-03-30T00:00:00"/>
    <x v="2"/>
    <x v="2"/>
    <s v="Machines"/>
    <s v="Business Router Max"/>
    <n v="5680.05"/>
    <n v="5"/>
    <n v="0"/>
    <n v="2201.65"/>
    <s v="Priya Sharma"/>
    <x v="3"/>
  </r>
  <r>
    <s v="ORD-2025-10233"/>
    <d v="2025-07-25T00:00:00"/>
    <x v="3"/>
    <x v="1"/>
    <s v="Binders"/>
    <s v="Office Microwave"/>
    <n v="407.44"/>
    <n v="6"/>
    <n v="0.05"/>
    <n v="77.13"/>
    <s v="Neha Singh"/>
    <x v="3"/>
  </r>
  <r>
    <s v="ORD-2024-10042"/>
    <d v="2024-04-21T00:00:00"/>
    <x v="0"/>
    <x v="0"/>
    <s v="Chairs"/>
    <s v="Desk Lamp LED"/>
    <n v="3262.05"/>
    <n v="10"/>
    <n v="0.1"/>
    <n v="-38.630000000000003"/>
    <s v="Rahul Verma"/>
    <x v="3"/>
  </r>
  <r>
    <s v="ORD-2024-10090"/>
    <d v="2024-12-08T00:00:00"/>
    <x v="3"/>
    <x v="0"/>
    <s v="Bookcases"/>
    <s v="Desk Lamp LED"/>
    <n v="1329.05"/>
    <n v="6"/>
    <n v="0.3"/>
    <n v="-390.57"/>
    <s v="Neha Singh"/>
    <x v="1"/>
  </r>
  <r>
    <s v="ORD-2025-10230"/>
    <d v="2025-07-19T00:00:00"/>
    <x v="2"/>
    <x v="0"/>
    <s v="Bookcases"/>
    <s v="Ergonomic Mesh Chair"/>
    <n v="2942.4"/>
    <n v="6"/>
    <n v="0"/>
    <n v="333.04"/>
    <s v="Priya Sharma"/>
    <x v="3"/>
  </r>
  <r>
    <s v="ORD-2024-10137"/>
    <d v="2024-12-11T00:00:00"/>
    <x v="3"/>
    <x v="1"/>
    <s v="Paper"/>
    <s v="Stapler Executive Pro"/>
    <n v="376.75"/>
    <n v="8"/>
    <n v="0.4"/>
    <n v="-105.34"/>
    <s v="Neha Singh"/>
    <x v="2"/>
  </r>
  <r>
    <s v="ORD-2024-10137"/>
    <d v="2024-12-11T00:00:00"/>
    <x v="3"/>
    <x v="1"/>
    <s v="Paper"/>
    <s v="Stapler Executive Pro"/>
    <n v="376.75"/>
    <n v="8"/>
    <n v="0.4"/>
    <n v="-105.34"/>
    <s v="Neha Singh"/>
    <x v="2"/>
  </r>
  <r>
    <s v="ORD-2024-10142"/>
    <d v="2024-12-24T00:00:00"/>
    <x v="2"/>
    <x v="1"/>
    <s v="Storage"/>
    <s v="Office Microwave"/>
    <n v="267.36"/>
    <n v="8"/>
    <n v="0.4"/>
    <n v="-80.28"/>
    <s v="Priya Sharma"/>
    <x v="2"/>
  </r>
  <r>
    <s v="ORD-2025-10212"/>
    <d v="2025-05-25T00:00:00"/>
    <x v="0"/>
    <x v="1"/>
    <s v="Binders"/>
    <s v="File Folders 100-Pack"/>
    <n v="328.35"/>
    <n v="3"/>
    <n v="0.05"/>
    <n v="58.35"/>
    <s v="Rahul Verma"/>
    <x v="3"/>
  </r>
  <r>
    <s v="ORD-2024-10001"/>
    <d v="2024-02-01T00:00:00"/>
    <x v="2"/>
    <x v="0"/>
    <s v="Chairs"/>
    <s v="Ergonomic Mesh Chair"/>
    <n v="1676.2"/>
    <n v="4"/>
    <n v="0.1"/>
    <n v="-49.31"/>
    <s v="Priya Sharma"/>
    <x v="3"/>
  </r>
  <r>
    <s v="ORD-2025-10292"/>
    <d v="2025-12-10T00:00:00"/>
    <x v="0"/>
    <x v="0"/>
    <s v="Chairs"/>
    <s v="Wooden Bookcase 5-Shelf"/>
    <n v="1851.55"/>
    <n v="8"/>
    <n v="0.4"/>
    <n v="-799.57"/>
    <s v="Rahul Verma"/>
    <x v="2"/>
  </r>
  <r>
    <s v="ORD-2025-10281"/>
    <d v="2025-11-14T00:00:00"/>
    <x v="0"/>
    <x v="0"/>
    <s v="Tables"/>
    <s v="Conference Table 8ft"/>
    <n v="599.51"/>
    <n v="7"/>
    <n v="0.4"/>
    <n v="-251.18"/>
    <s v="Rahul Verma"/>
    <x v="2"/>
  </r>
  <r>
    <s v="ORD-2024-10101"/>
    <d v="2024-08-30T00:00:00"/>
    <x v="1"/>
    <x v="2"/>
    <s v="Machines"/>
    <s v="Laser Copier 3000"/>
    <n v="2301.2199999999998"/>
    <n v="5"/>
    <n v="0.5"/>
    <n v="-653.58000000000004"/>
    <s v="Ankit Gupta"/>
    <x v="2"/>
  </r>
  <r>
    <s v="ORD-2025-10193"/>
    <d v="2025-04-17T00:00:00"/>
    <x v="2"/>
    <x v="1"/>
    <s v="Appliances"/>
    <s v="Stapler Executive Pro"/>
    <n v="259.5"/>
    <n v="10"/>
    <n v="0.5"/>
    <n v="-112.42"/>
    <s v="Priya Sharma"/>
    <x v="2"/>
  </r>
  <r>
    <s v="ORD-2025-10266"/>
    <d v="2025-10-16T00:00:00"/>
    <x v="3"/>
    <x v="1"/>
    <s v="Paper"/>
    <s v="Office Microwave"/>
    <n v="72.53"/>
    <n v="2"/>
    <n v="0.2"/>
    <n v="-0.98"/>
    <s v="Neha Singh"/>
    <x v="0"/>
  </r>
  <r>
    <s v="ORD-2024-10104"/>
    <d v="2024-09-08T00:00:00"/>
    <x v="0"/>
    <x v="1"/>
    <s v="Appliances"/>
    <s v="Whiteboard Markers 8-Pack"/>
    <n v="376"/>
    <n v="8"/>
    <n v="0.2"/>
    <n v="-12.31"/>
    <s v="Rahul Verma"/>
    <x v="0"/>
  </r>
  <r>
    <s v="ORD-2025-10172"/>
    <d v="2025-02-23T00:00:00"/>
    <x v="0"/>
    <x v="1"/>
    <s v="Pens &amp; Art"/>
    <s v="Heavy Duty Binder"/>
    <n v="58.63"/>
    <n v="2"/>
    <n v="0.4"/>
    <n v="-17.309999999999999"/>
    <s v="Rahul Verma"/>
    <x v="2"/>
  </r>
  <r>
    <s v="ORD-2024-10099"/>
    <d v="2024-08-28T00:00:00"/>
    <x v="0"/>
    <x v="2"/>
    <s v="Machines"/>
    <s v="Workstation PC Pro"/>
    <n v="1668.06"/>
    <n v="6"/>
    <n v="0"/>
    <n v="657.19"/>
    <s v="Rahul Verma"/>
    <x v="3"/>
  </r>
  <r>
    <s v="ORD-2024-10037"/>
    <d v="2024-04-09T00:00:00"/>
    <x v="2"/>
    <x v="2"/>
    <s v="Phones"/>
    <s v="Laser Copier 3000"/>
    <n v="3260.12"/>
    <n v="7"/>
    <n v="0.15"/>
    <n v="634.29"/>
    <s v="Priya Sharma"/>
    <x v="0"/>
  </r>
  <r>
    <s v="ORD-2024-10062"/>
    <d v="2024-05-31T00:00:00"/>
    <x v="0"/>
    <x v="0"/>
    <s v="Chairs"/>
    <s v="Executive Leather Chair"/>
    <n v="2067.91"/>
    <n v="9"/>
    <n v="0.3"/>
    <n v="-574.51"/>
    <s v="Rahul Verma"/>
    <x v="1"/>
  </r>
  <r>
    <s v="ORD-2025-10151"/>
    <d v="2025-01-20T00:00:00"/>
    <x v="2"/>
    <x v="1"/>
    <s v="Pens &amp; Art"/>
    <s v="Heavy Duty Binder"/>
    <n v="594.98"/>
    <n v="7"/>
    <n v="0.05"/>
    <n v="98.47"/>
    <s v="Priya Sharma"/>
    <x v="3"/>
  </r>
  <r>
    <s v="ORD-2025-10250"/>
    <d v="2025-09-16T00:00:00"/>
    <x v="1"/>
    <x v="0"/>
    <s v="Chairs"/>
    <s v="Conference Table 8ft"/>
    <n v="341.54"/>
    <n v="4"/>
    <n v="0.05"/>
    <n v="18.600000000000001"/>
    <s v="Ankit Gupta"/>
    <x v="3"/>
  </r>
  <r>
    <s v="ORD-2025-10214"/>
    <d v="2025-05-25T00:00:00"/>
    <x v="3"/>
    <x v="1"/>
    <s v="Binders"/>
    <s v="Stapler Executive Pro"/>
    <n v="513.30999999999995"/>
    <n v="10"/>
    <n v="0.3"/>
    <n v="-75.260000000000005"/>
    <s v="Neha Singh"/>
    <x v="1"/>
  </r>
  <r>
    <s v="ORD-2025-10256"/>
    <d v="2025-10-01T00:00:00"/>
    <x v="2"/>
    <x v="1"/>
    <s v="Appliances"/>
    <s v="Heavy Duty Binder"/>
    <n v="423.6"/>
    <n v="8"/>
    <n v="0"/>
    <n v="108.2"/>
    <s v="Priya Sharma"/>
    <x v="3"/>
  </r>
  <r>
    <s v="ORD-2024-10012"/>
    <d v="2024-01-28T00:00:00"/>
    <x v="2"/>
    <x v="1"/>
    <s v="Storage"/>
    <s v="Gel Pens 12-Pack"/>
    <n v="76.78"/>
    <n v="1"/>
    <n v="0.1"/>
    <n v="9.82"/>
    <s v="Priya Sharma"/>
    <x v="3"/>
  </r>
  <r>
    <s v="ORD-2024-10140"/>
    <d v="2024-12-13T00:00:00"/>
    <x v="3"/>
    <x v="1"/>
    <s v="Storage"/>
    <s v="Heavy Duty Binder"/>
    <n v="127.35"/>
    <n v="2"/>
    <n v="0.1"/>
    <n v="17.149999999999999"/>
    <s v="Neha Singh"/>
    <x v="3"/>
  </r>
  <r>
    <s v="ORD-2025-10201"/>
    <d v="2025-05-06T00:00:00"/>
    <x v="3"/>
    <x v="2"/>
    <s v="Machines"/>
    <s v="Dual Screen Monitor"/>
    <n v="3118.92"/>
    <n v="6"/>
    <n v="0.5"/>
    <n v="-936.6"/>
    <s v="Neha Singh"/>
    <x v="2"/>
  </r>
  <r>
    <s v="ORD-2025-10276"/>
    <d v="2025-11-07T00:00:00"/>
    <x v="1"/>
    <x v="2"/>
    <s v="Copiers"/>
    <s v="HD Web Camera"/>
    <n v="1080.57"/>
    <n v="3"/>
    <n v="0"/>
    <n v="408.54"/>
    <s v="Ankit Gupta"/>
    <x v="3"/>
  </r>
  <r>
    <s v="ORD-2024-10028"/>
    <d v="2024-03-21T00:00:00"/>
    <x v="1"/>
    <x v="2"/>
    <s v="Accessories"/>
    <s v="Dual Screen Monitor"/>
    <n v="141.80000000000001"/>
    <n v="1"/>
    <n v="0.1"/>
    <n v="32.29"/>
    <s v="Ankit Gupta"/>
    <x v="3"/>
  </r>
  <r>
    <s v="ORD-2025-10232"/>
    <d v="2025-07-20T00:00:00"/>
    <x v="2"/>
    <x v="1"/>
    <s v="Appliances"/>
    <s v="Desktop Organizer Box"/>
    <n v="387.94"/>
    <n v="5"/>
    <n v="0.3"/>
    <n v="-65.89"/>
    <s v="Priya Sharma"/>
    <x v="1"/>
  </r>
  <r>
    <s v="ORD-2024-10005"/>
    <d v="2024-01-09T00:00:00"/>
    <x v="0"/>
    <x v="2"/>
    <s v="Copiers"/>
    <s v="Mechanical Keyboard"/>
    <n v="2349.42"/>
    <n v="6"/>
    <n v="0"/>
    <n v="854.51"/>
    <s v="Rahul Verma"/>
    <x v="3"/>
  </r>
  <r>
    <s v="ORD-2024-10123"/>
    <d v="2024-04-11T00:00:00"/>
    <x v="0"/>
    <x v="1"/>
    <s v="Binders"/>
    <s v="Desktop Organizer Box"/>
    <n v="409.32"/>
    <n v="9"/>
    <n v="0"/>
    <n v="96.71"/>
    <s v="Rahul Verma"/>
    <x v="3"/>
  </r>
  <r>
    <s v="ORD-2024-10033"/>
    <d v="2024-04-05T00:00:00"/>
    <x v="3"/>
    <x v="0"/>
    <s v="Bookcases"/>
    <s v="Conference Table 8ft"/>
    <n v="418.6"/>
    <n v="4"/>
    <n v="0.5"/>
    <n v="-233.18"/>
    <s v="Neha Singh"/>
    <x v="2"/>
  </r>
  <r>
    <s v="ORD-2025-10221"/>
    <d v="2025-07-09T00:00:00"/>
    <x v="1"/>
    <x v="2"/>
    <s v="Machines"/>
    <s v="HD Web Camera"/>
    <n v="5653.02"/>
    <n v="10"/>
    <n v="0.4"/>
    <n v="-863.53"/>
    <s v="Ankit Gupta"/>
    <x v="2"/>
  </r>
  <r>
    <s v="ORD-2025-10163"/>
    <d v="2025-02-06T00:00:00"/>
    <x v="2"/>
    <x v="2"/>
    <s v="Copiers"/>
    <s v="Mechanical Keyboard"/>
    <n v="5961.65"/>
    <n v="5"/>
    <n v="0"/>
    <n v="2379.4"/>
    <s v="Priya Sharma"/>
    <x v="3"/>
  </r>
  <r>
    <s v="ORD-2025-10222"/>
    <d v="2025-09-07T00:00:00"/>
    <x v="3"/>
    <x v="2"/>
    <s v="Copiers"/>
    <s v="Workstation PC Pro"/>
    <n v="370.21"/>
    <n v="2"/>
    <n v="0.4"/>
    <n v="-60.09"/>
    <s v="Neha Singh"/>
    <x v="2"/>
  </r>
  <r>
    <s v="ORD-2025-10267"/>
    <d v="2025-10-20T00:00:00"/>
    <x v="0"/>
    <x v="1"/>
    <s v="Storage"/>
    <s v="File Folders 100-Pack"/>
    <n v="634.14"/>
    <n v="7"/>
    <n v="0.05"/>
    <n v="120.54"/>
    <s v="Rahul Verma"/>
    <x v="3"/>
  </r>
  <r>
    <s v="ORD-2024-10139"/>
    <d v="2024-11-12T00:00:00"/>
    <x v="0"/>
    <x v="1"/>
    <s v="Pens &amp; Art"/>
    <s v="Copy Paper 500 Sheets"/>
    <n v="148.22999999999999"/>
    <n v="10"/>
    <n v="0.1"/>
    <n v="18.29"/>
    <s v="Rahul Verma"/>
    <x v="3"/>
  </r>
  <r>
    <s v="ORD-2024-10063"/>
    <d v="2024-06-01T00:00:00"/>
    <x v="2"/>
    <x v="2"/>
    <s v="Copiers"/>
    <s v="Smartphone X1"/>
    <n v="1287.77"/>
    <n v="5"/>
    <n v="0.05"/>
    <n v="406.58"/>
    <s v="Priya Sharma"/>
    <x v="3"/>
  </r>
  <r>
    <s v="ORD-2025-10216"/>
    <d v="2025-06-08T00:00:00"/>
    <x v="0"/>
    <x v="0"/>
    <s v="Furnishings"/>
    <s v="Standing Desk Frame"/>
    <n v="283.10000000000002"/>
    <n v="2"/>
    <n v="0.1"/>
    <n v="-4.97"/>
    <s v="Rahul Verma"/>
    <x v="3"/>
  </r>
  <r>
    <s v="ORD-2024-10136"/>
    <d v="2024-12-09T00:00:00"/>
    <x v="3"/>
    <x v="2"/>
    <s v="Machines"/>
    <s v="Smartphone X1"/>
    <n v="4538.92"/>
    <n v="9"/>
    <n v="0.4"/>
    <n v="-741.98"/>
    <s v="Neha Singh"/>
    <x v="2"/>
  </r>
  <r>
    <s v="ORD-2024-10129"/>
    <d v="2024-11-26T00:00:00"/>
    <x v="0"/>
    <x v="1"/>
    <s v="Appliances"/>
    <s v="File Folders 100-Pack"/>
    <n v="726.9"/>
    <n v="10"/>
    <n v="0"/>
    <n v="193.05"/>
    <s v="Rahul Verma"/>
    <x v="3"/>
  </r>
  <r>
    <s v="ORD-2025-10300"/>
    <d v="2025-12-30T00:00:00"/>
    <x v="2"/>
    <x v="2"/>
    <s v="Machines"/>
    <s v="Mechanical Keyboard"/>
    <n v="998.94"/>
    <n v="2"/>
    <n v="0.3"/>
    <n v="-39.6"/>
    <s v="Priya Sharma"/>
    <x v="1"/>
  </r>
  <r>
    <s v="ORD-2024-10009"/>
    <d v="2024-01-21T00:00:00"/>
    <x v="1"/>
    <x v="0"/>
    <s v="Bookcases"/>
    <s v="Conference Table 8ft"/>
    <n v="734.68"/>
    <n v="2"/>
    <n v="0.3"/>
    <n v="-215.91"/>
    <s v="Ankit Gupta"/>
    <x v="1"/>
  </r>
  <r>
    <s v="ORD-2024-10071"/>
    <d v="2024-07-02T00:00:00"/>
    <x v="3"/>
    <x v="2"/>
    <s v="Machines"/>
    <s v="Workstation PC Pro"/>
    <n v="4595.33"/>
    <n v="8"/>
    <n v="0.1"/>
    <n v="1127.9100000000001"/>
    <s v="Neha Singh"/>
    <x v="3"/>
  </r>
  <r>
    <s v="ORD-2025-10273"/>
    <d v="2025-11-02T00:00:00"/>
    <x v="3"/>
    <x v="1"/>
    <s v="Binders"/>
    <s v="Desktop Organizer Box"/>
    <n v="382.14"/>
    <n v="7"/>
    <n v="0.2"/>
    <n v="-5.36"/>
    <s v="Neha Singh"/>
    <x v="0"/>
  </r>
  <r>
    <s v="ORD-2024-10065"/>
    <d v="2024-08-06T00:00:00"/>
    <x v="0"/>
    <x v="1"/>
    <s v="Storage"/>
    <s v="Whiteboard Markers 8-Pack"/>
    <n v="862.65"/>
    <n v="9"/>
    <n v="0"/>
    <n v="211.7"/>
    <s v="Rahul Verma"/>
    <x v="3"/>
  </r>
  <r>
    <s v="ORD-2024-10045"/>
    <d v="2024-04-22T00:00:00"/>
    <x v="0"/>
    <x v="0"/>
    <s v="Tables"/>
    <s v="Executive Leather Chair"/>
    <n v="794.4"/>
    <n v="2"/>
    <n v="0"/>
    <n v="94"/>
    <s v="Rahul Verma"/>
    <x v="3"/>
  </r>
  <r>
    <s v="ORD-2025-10249"/>
    <d v="2025-09-15T00:00:00"/>
    <x v="1"/>
    <x v="1"/>
    <s v="Storage"/>
    <s v="File Folders 100-Pack"/>
    <n v="155.83000000000001"/>
    <n v="3"/>
    <n v="0.4"/>
    <n v="-45.51"/>
    <s v="Ankit Gupta"/>
    <x v="2"/>
  </r>
  <r>
    <s v="ORD-2025-10157"/>
    <d v="2025-01-26T00:00:00"/>
    <x v="1"/>
    <x v="1"/>
    <s v="Pens &amp; Art"/>
    <s v="Desktop Organizer Box"/>
    <n v="245.12"/>
    <n v="7"/>
    <n v="0.05"/>
    <n v="41.5"/>
    <s v="Ankit Gupta"/>
    <x v="3"/>
  </r>
  <r>
    <s v="ORD-2024-10041"/>
    <d v="2024-04-16T00:00:00"/>
    <x v="0"/>
    <x v="2"/>
    <s v="Accessories"/>
    <s v="Smartphone X1"/>
    <n v="2752.19"/>
    <n v="2"/>
    <n v="0.05"/>
    <n v="812.56"/>
    <s v="Rahul Verma"/>
    <x v="3"/>
  </r>
  <r>
    <s v="ORD-2024-10124"/>
    <d v="2024-09-11T00:00:00"/>
    <x v="0"/>
    <x v="2"/>
    <s v="Machines"/>
    <s v="HD Web Camera"/>
    <n v="7427.64"/>
    <n v="8"/>
    <n v="0.15"/>
    <n v="1179.55"/>
    <s v="Rahul Verma"/>
    <x v="0"/>
  </r>
  <r>
    <s v="ORD-2025-10284"/>
    <d v="2025-11-22T00:00:00"/>
    <x v="1"/>
    <x v="2"/>
    <s v="Accessories"/>
    <s v="Business Router Max"/>
    <n v="678.01"/>
    <n v="1"/>
    <n v="0"/>
    <n v="258.13"/>
    <s v="Ankit Gupta"/>
    <x v="3"/>
  </r>
  <r>
    <s v="ORD-2025-10154"/>
    <d v="2025-01-22T00:00:00"/>
    <x v="3"/>
    <x v="2"/>
    <s v="Phones"/>
    <s v="Dual Screen Monitor"/>
    <n v="3657.24"/>
    <n v="5"/>
    <n v="0.1"/>
    <n v="932.12"/>
    <s v="Neha Singh"/>
    <x v="3"/>
  </r>
  <r>
    <s v="ORD-2024-10024"/>
    <d v="2024-02-28T00:00:00"/>
    <x v="3"/>
    <x v="1"/>
    <s v="Pens &amp; Art"/>
    <s v="Copy Paper 500 Sheets"/>
    <n v="1005.31"/>
    <n v="9"/>
    <n v="0.05"/>
    <n v="168.53"/>
    <s v="Neha Singh"/>
    <x v="3"/>
  </r>
  <r>
    <s v="ORD-2025-10269"/>
    <d v="2025-10-23T00:00:00"/>
    <x v="0"/>
    <x v="2"/>
    <s v="Phones"/>
    <s v="Wireless Headset Pro"/>
    <n v="5983.21"/>
    <n v="7"/>
    <n v="0.2"/>
    <n v="661.28"/>
    <s v="Rahul Verma"/>
    <x v="0"/>
  </r>
  <r>
    <s v="ORD-2024-10111"/>
    <d v="2024-09-26T00:00:00"/>
    <x v="0"/>
    <x v="0"/>
    <s v="Furnishings"/>
    <s v="Executive Leather Chair"/>
    <n v="1197.2"/>
    <n v="4"/>
    <n v="0"/>
    <n v="154.26"/>
    <s v="Rahul Verma"/>
    <x v="3"/>
  </r>
  <r>
    <s v="ORD-2024-10082"/>
    <d v="2024-07-24T00:00:00"/>
    <x v="0"/>
    <x v="2"/>
    <s v="Copiers"/>
    <s v="Wireless Headset Pro"/>
    <n v="1033.54"/>
    <n v="4"/>
    <n v="0.3"/>
    <n v="-17.82"/>
    <s v="Rahul Verma"/>
    <x v="1"/>
  </r>
  <r>
    <s v="ORD-2025-10237"/>
    <d v="2025-07-31T00:00:00"/>
    <x v="2"/>
    <x v="1"/>
    <s v="Binders"/>
    <s v="Heavy Duty Binder"/>
    <n v="786.69"/>
    <n v="10"/>
    <n v="0.05"/>
    <n v="146.63"/>
    <s v="Priya Sharma"/>
    <x v="3"/>
  </r>
  <r>
    <s v="ORD-2025-10208"/>
    <d v="2025-05-20T00:00:00"/>
    <x v="2"/>
    <x v="1"/>
    <s v="Pens &amp; Art"/>
    <s v="File Folders 100-Pack"/>
    <n v="456.84"/>
    <n v="7"/>
    <n v="0.15"/>
    <n v="16.5"/>
    <s v="Priya Sharma"/>
    <x v="0"/>
  </r>
  <r>
    <s v="ORD-2025-10213"/>
    <d v="2025-05-25T00:00:00"/>
    <x v="3"/>
    <x v="0"/>
    <s v="Tables"/>
    <s v="Standing Desk Frame"/>
    <n v="82.24"/>
    <n v="1"/>
    <n v="0.3"/>
    <n v="-25.02"/>
    <s v="Neha Singh"/>
    <x v="1"/>
  </r>
  <r>
    <s v="ORD-2024-10040"/>
    <d v="2024-04-15T00:00:00"/>
    <x v="0"/>
    <x v="0"/>
    <s v="Bookcases"/>
    <s v="Ergonomic Mesh Chair"/>
    <n v="530.36"/>
    <n v="8"/>
    <n v="0.5"/>
    <n v="-285.45"/>
    <s v="Rahul Verma"/>
    <x v="2"/>
  </r>
  <r>
    <s v="ORD-2025-10254"/>
    <d v="2025-09-24T00:00:00"/>
    <x v="0"/>
    <x v="2"/>
    <s v="Copiers"/>
    <s v="Business Router Max"/>
    <n v="1023.57"/>
    <n v="6"/>
    <n v="0.1"/>
    <n v="253.67"/>
    <s v="Rahul Verma"/>
    <x v="3"/>
  </r>
  <r>
    <s v="ORD-2025-10286"/>
    <d v="2025-11-29T00:00:00"/>
    <x v="0"/>
    <x v="1"/>
    <s v="Appliances"/>
    <s v="Office Microwave"/>
    <n v="579.69000000000005"/>
    <n v="5"/>
    <n v="0.1"/>
    <n v="69.8"/>
    <s v="Rahul Verma"/>
    <x v="3"/>
  </r>
  <r>
    <s v="ORD-2025-10270"/>
    <d v="2025-10-25T00:00:00"/>
    <x v="0"/>
    <x v="1"/>
    <s v="Paper"/>
    <s v="Heavy Duty Binder"/>
    <n v="192.78"/>
    <n v="10"/>
    <n v="0.4"/>
    <n v="-59.49"/>
    <s v="Rahul Verma"/>
    <x v="2"/>
  </r>
  <r>
    <s v="ORD-2025-10200"/>
    <d v="2025-04-05T00:00:00"/>
    <x v="0"/>
    <x v="2"/>
    <s v="Copiers"/>
    <s v="Workstation PC Pro"/>
    <n v="2620.19"/>
    <n v="9"/>
    <n v="0.1"/>
    <n v="605.76"/>
    <s v="Rahul Verma"/>
    <x v="3"/>
  </r>
  <r>
    <s v="ORD-2024-10015"/>
    <d v="2024-02-04T00:00:00"/>
    <x v="0"/>
    <x v="2"/>
    <s v="Accessories"/>
    <s v="Mechanical Keyboard"/>
    <n v="5723"/>
    <n v="7"/>
    <n v="0.3"/>
    <n v="-174.67"/>
    <s v="Rahul Verma"/>
    <x v="1"/>
  </r>
  <r>
    <s v="ORD-2024-10048"/>
    <d v="2024-02-05T00:00:00"/>
    <x v="3"/>
    <x v="1"/>
    <s v="Appliances"/>
    <s v="Office Microwave"/>
    <n v="695.52"/>
    <n v="9"/>
    <n v="0"/>
    <n v="178.55"/>
    <s v="Neha Singh"/>
    <x v="3"/>
  </r>
  <r>
    <s v="ORD-2024-10095"/>
    <d v="2024-08-18T00:00:00"/>
    <x v="0"/>
    <x v="1"/>
    <s v="Storage"/>
    <s v="Desktop Organizer Box"/>
    <n v="182.04"/>
    <n v="2"/>
    <n v="0.05"/>
    <n v="36.61"/>
    <s v="Rahul Verma"/>
    <x v="3"/>
  </r>
  <r>
    <s v="ORD-2025-10272"/>
    <d v="2025-11-02T00:00:00"/>
    <x v="0"/>
    <x v="1"/>
    <s v="Appliances"/>
    <s v="Heavy Duty Binder"/>
    <n v="612.48"/>
    <n v="8"/>
    <n v="0.2"/>
    <n v="-15.39"/>
    <s v="Rahul Verma"/>
    <x v="0"/>
  </r>
  <r>
    <s v="ORD-2025-10228"/>
    <d v="2025-07-17T00:00:00"/>
    <x v="3"/>
    <x v="1"/>
    <s v="Paper"/>
    <s v="Heavy Duty Binder"/>
    <n v="178.8"/>
    <n v="8"/>
    <n v="0.4"/>
    <n v="-51.68"/>
    <s v="Neha Singh"/>
    <x v="2"/>
  </r>
  <r>
    <s v="ORD-2025-10282"/>
    <d v="2025-11-17T00:00:00"/>
    <x v="0"/>
    <x v="2"/>
    <s v="Machines"/>
    <s v="Wireless Headset Pro"/>
    <n v="2111.94"/>
    <n v="6"/>
    <n v="0"/>
    <n v="798.31"/>
    <s v="Rahul Verma"/>
    <x v="3"/>
  </r>
  <r>
    <s v="ORD-2025-10202"/>
    <d v="2025-05-07T00:00:00"/>
    <x v="1"/>
    <x v="1"/>
    <s v="Storage"/>
    <s v="Gel Pens 12-Pack"/>
    <n v="444.56"/>
    <n v="9"/>
    <n v="0.5"/>
    <n v="-197.36"/>
    <s v="Ankit Gupta"/>
    <x v="2"/>
  </r>
  <r>
    <s v="ORD-2025-10162"/>
    <d v="2025-02-06T00:00:00"/>
    <x v="0"/>
    <x v="0"/>
    <s v="Bookcases"/>
    <s v="Desk Lamp LED"/>
    <n v="5996.72"/>
    <n v="8"/>
    <n v="0"/>
    <n v="656.57"/>
    <s v="Rahul Verma"/>
    <x v="3"/>
  </r>
  <r>
    <s v="ORD-2024-10044"/>
    <d v="2024-04-22T00:00:00"/>
    <x v="2"/>
    <x v="2"/>
    <s v="Copiers"/>
    <s v="Dual Screen Monitor"/>
    <n v="4607.33"/>
    <n v="6"/>
    <n v="0.1"/>
    <n v="1085.5999999999999"/>
    <s v="Priya Sharma"/>
    <x v="3"/>
  </r>
  <r>
    <s v="ORD-2025-10218"/>
    <d v="2025-06-30T00:00:00"/>
    <x v="2"/>
    <x v="0"/>
    <s v="Tables"/>
    <s v="Conference Table 8ft"/>
    <n v="345.45"/>
    <n v="2"/>
    <n v="0.5"/>
    <n v="-191.59"/>
    <s v="Priya Sharma"/>
    <x v="2"/>
  </r>
  <r>
    <s v="ORD-2025-10191"/>
    <d v="2025-04-17T00:00:00"/>
    <x v="0"/>
    <x v="1"/>
    <s v="Pens &amp; Art"/>
    <s v="Whiteboard Markers 8-Pack"/>
    <n v="512.83000000000004"/>
    <n v="8"/>
    <n v="0.4"/>
    <n v="-157.47"/>
    <s v="Rahul Verma"/>
    <x v="2"/>
  </r>
  <r>
    <s v="ORD-2024-10106"/>
    <d v="2024-09-10T00:00:00"/>
    <x v="1"/>
    <x v="1"/>
    <s v="Storage"/>
    <s v="Heavy Duty Binder"/>
    <n v="267.32"/>
    <n v="4"/>
    <n v="0"/>
    <n v="64.06"/>
    <s v="Ankit Gupta"/>
    <x v="3"/>
  </r>
  <r>
    <s v="ORD-2024-10002"/>
    <d v="2024-01-02T00:00:00"/>
    <x v="2"/>
    <x v="2"/>
    <s v="Phones"/>
    <s v="Wireless Headset Pro"/>
    <n v="770.02"/>
    <n v="1"/>
    <n v="0"/>
    <n v="280.08999999999997"/>
    <s v="Priya Sharma"/>
    <x v="3"/>
  </r>
  <r>
    <s v="ORD-2024-10050"/>
    <d v="2024-08-05T00:00:00"/>
    <x v="0"/>
    <x v="1"/>
    <s v="Binders"/>
    <s v="Desktop Organizer Box"/>
    <n v="449.55"/>
    <n v="10"/>
    <n v="0.1"/>
    <n v="55.61"/>
    <s v="Rahul Verma"/>
    <x v="3"/>
  </r>
  <r>
    <s v="ORD-2024-10081"/>
    <d v="2024-07-21T00:00:00"/>
    <x v="0"/>
    <x v="1"/>
    <s v="Storage"/>
    <s v="File Folders 100-Pack"/>
    <n v="104.17"/>
    <n v="5"/>
    <n v="0.1"/>
    <n v="11.03"/>
    <s v="Rahul Verma"/>
    <x v="3"/>
  </r>
  <r>
    <s v="ORD-2025-10206"/>
    <d v="2025-05-17T00:00:00"/>
    <x v="0"/>
    <x v="0"/>
    <s v="Bookcases"/>
    <s v="Wooden Bookcase 5-Shelf"/>
    <n v="2043.18"/>
    <n v="6"/>
    <n v="0"/>
    <n v="276.51"/>
    <s v="Rahul Verma"/>
    <x v="3"/>
  </r>
  <r>
    <s v="ORD-2024-10035"/>
    <d v="2024-08-04T00:00:00"/>
    <x v="3"/>
    <x v="2"/>
    <s v="Phones"/>
    <s v="Smartphone X1"/>
    <n v="7512.75"/>
    <n v="9"/>
    <n v="0"/>
    <n v="2995.78"/>
    <s v="Neha Singh"/>
    <x v="3"/>
  </r>
  <r>
    <s v="ORD-2025-10264"/>
    <d v="2025-10-10T00:00:00"/>
    <x v="0"/>
    <x v="1"/>
    <s v="Pens &amp; Art"/>
    <s v="Whiteboard Markers 8-Pack"/>
    <n v="106.42"/>
    <n v="3"/>
    <n v="0.4"/>
    <n v="-30.04"/>
    <s v="Rahul Verma"/>
    <x v="2"/>
  </r>
  <r>
    <s v="ORD-2024-10092"/>
    <d v="2024-08-14T00:00:00"/>
    <x v="0"/>
    <x v="2"/>
    <s v="Phones"/>
    <s v="Workstation PC Pro"/>
    <n v="963.58"/>
    <n v="2"/>
    <n v="0"/>
    <n v="375.96"/>
    <s v="Rahul Verma"/>
    <x v="3"/>
  </r>
  <r>
    <s v="ORD-2024-10053"/>
    <d v="2024-05-10T00:00:00"/>
    <x v="0"/>
    <x v="1"/>
    <s v="Storage"/>
    <s v="Desktop Organizer Box"/>
    <n v="720.85"/>
    <n v="9"/>
    <n v="0.3"/>
    <n v="-109.98"/>
    <s v="Rahul Verma"/>
    <x v="1"/>
  </r>
  <r>
    <s v="ORD-2025-10265"/>
    <d v="2025-10-13T00:00:00"/>
    <x v="3"/>
    <x v="1"/>
    <s v="Storage"/>
    <s v="Office Microwave"/>
    <n v="686.91"/>
    <n v="7"/>
    <n v="0"/>
    <n v="169.82"/>
    <s v="Neha Singh"/>
    <x v="3"/>
  </r>
  <r>
    <s v="ORD-2025-10242"/>
    <d v="2025-08-31T00:00:00"/>
    <x v="1"/>
    <x v="2"/>
    <s v="Copiers"/>
    <s v="Business Router Max"/>
    <n v="4509.03"/>
    <n v="7"/>
    <n v="0.05"/>
    <n v="1466.23"/>
    <s v="Ankit Gupta"/>
    <x v="3"/>
  </r>
  <r>
    <s v="ORD-2024-10014"/>
    <d v="2024-02-02T00:00:00"/>
    <x v="2"/>
    <x v="1"/>
    <s v="Pens &amp; Art"/>
    <s v="Whiteboard Markers 8-Pack"/>
    <n v="815.63"/>
    <n v="8"/>
    <n v="0.05"/>
    <n v="141.18"/>
    <s v="Priya Sharma"/>
    <x v="3"/>
  </r>
  <r>
    <s v="ORD-2024-10089"/>
    <d v="2024-08-12T00:00:00"/>
    <x v="2"/>
    <x v="2"/>
    <s v="Machines"/>
    <s v="Laser Copier 3000"/>
    <n v="3180.57"/>
    <n v="3"/>
    <n v="0"/>
    <n v="1178.0999999999999"/>
    <s v="Priya Sharma"/>
    <x v="3"/>
  </r>
  <r>
    <s v="ORD-2025-10167"/>
    <d v="2025-02-14T00:00:00"/>
    <x v="1"/>
    <x v="0"/>
    <s v="Chairs"/>
    <s v="Standing Desk Frame"/>
    <n v="783.41"/>
    <n v="2"/>
    <n v="0.15"/>
    <n v="-70.06"/>
    <s v="Ankit Gupta"/>
    <x v="0"/>
  </r>
  <r>
    <s v="ORD-2024-10015"/>
    <d v="2024-02-04T00:00:00"/>
    <x v="0"/>
    <x v="2"/>
    <s v="Accessories"/>
    <s v="Mechanical Keyboard"/>
    <n v="5723"/>
    <n v="7"/>
    <n v="0.3"/>
    <n v="-174.67"/>
    <s v="Rahul Verma"/>
    <x v="1"/>
  </r>
  <r>
    <s v="ORD-2024-10135"/>
    <d v="2024-12-09T00:00:00"/>
    <x v="0"/>
    <x v="2"/>
    <s v="Machines"/>
    <s v="Smartphone X1"/>
    <n v="4000.75"/>
    <n v="6"/>
    <n v="0.15"/>
    <n v="681.85"/>
    <s v="Rahul Verma"/>
    <x v="0"/>
  </r>
  <r>
    <s v="ORD-2025-10297"/>
    <d v="2025-12-27T00:00:00"/>
    <x v="0"/>
    <x v="0"/>
    <s v="Bookcases"/>
    <s v="Desk Lamp LED"/>
    <n v="2384.12"/>
    <n v="8"/>
    <n v="0.5"/>
    <n v="-1326.35"/>
    <s v="Rahul Verma"/>
    <x v="2"/>
  </r>
  <r>
    <s v="ORD-2025-10244"/>
    <d v="2025-02-09T00:00:00"/>
    <x v="0"/>
    <x v="1"/>
    <s v="Appliances"/>
    <s v="Copy Paper 500 Sheets"/>
    <n v="992.88"/>
    <n v="9"/>
    <n v="0"/>
    <n v="239.68"/>
    <s v="Rahul Verma"/>
    <x v="3"/>
  </r>
  <r>
    <s v="ORD-2024-10055"/>
    <d v="2024-05-14T00:00:00"/>
    <x v="0"/>
    <x v="1"/>
    <s v="Storage"/>
    <s v="Desktop Organizer Box"/>
    <n v="60.86"/>
    <n v="1"/>
    <n v="0.15"/>
    <n v="2.56"/>
    <s v="Rahul Verma"/>
    <x v="0"/>
  </r>
  <r>
    <s v="ORD-2024-10051"/>
    <d v="2024-05-09T00:00:00"/>
    <x v="1"/>
    <x v="0"/>
    <s v="Tables"/>
    <s v="Executive Leather Chair"/>
    <n v="1714.05"/>
    <n v="5"/>
    <n v="0"/>
    <n v="177.73"/>
    <s v="Ankit Gupta"/>
    <x v="3"/>
  </r>
  <r>
    <s v="ORD-2025-10175"/>
    <d v="2025-11-03T00:00:00"/>
    <x v="0"/>
    <x v="1"/>
    <s v="Paper"/>
    <s v="Copy Paper 500 Sheets"/>
    <n v="679.12"/>
    <n v="8"/>
    <n v="0.15"/>
    <n v="36.31"/>
    <s v="Rahul Verma"/>
    <x v="0"/>
  </r>
  <r>
    <s v="ORD-2025-10190"/>
    <d v="2025-04-16T00:00:00"/>
    <x v="0"/>
    <x v="2"/>
    <s v="Copiers"/>
    <s v="HD Web Camera"/>
    <n v="1031.8800000000001"/>
    <n v="1"/>
    <n v="0"/>
    <n v="412.69"/>
    <s v="Rahul Verma"/>
    <x v="3"/>
  </r>
  <r>
    <s v="ORD-2025-10174"/>
    <d v="2025-03-03T00:00:00"/>
    <x v="0"/>
    <x v="0"/>
    <s v="Furnishings"/>
    <s v="Ergonomic Mesh Chair"/>
    <n v="3619.51"/>
    <n v="9"/>
    <n v="0.2"/>
    <n v="-482.81"/>
    <s v="Rahul Verma"/>
    <x v="0"/>
  </r>
  <r>
    <s v="ORD-2025-10188"/>
    <d v="2025-04-11T00:00:00"/>
    <x v="1"/>
    <x v="1"/>
    <s v="Pens &amp; Art"/>
    <s v="Copy Paper 500 Sheets"/>
    <n v="441.7"/>
    <n v="8"/>
    <n v="0.4"/>
    <n v="-123.18"/>
    <s v="Ankit Gupta"/>
    <x v="2"/>
  </r>
  <r>
    <s v="ORD-2025-10170"/>
    <d v="2025-02-19T00:00:00"/>
    <x v="2"/>
    <x v="2"/>
    <s v="Copiers"/>
    <s v="Wireless Headset Pro"/>
    <n v="1219.33"/>
    <n v="2"/>
    <n v="0.05"/>
    <n v="393.44"/>
    <s v="Priya Sharma"/>
    <x v="3"/>
  </r>
  <r>
    <s v="ORD-2024-10049"/>
    <d v="2024-05-03T00:00:00"/>
    <x v="0"/>
    <x v="0"/>
    <s v="Bookcases"/>
    <s v="Conference Table 8ft"/>
    <n v="1811.26"/>
    <n v="3"/>
    <n v="0.15"/>
    <n v="-177.29"/>
    <s v="Rahul Verma"/>
    <x v="0"/>
  </r>
  <r>
    <s v="ORD-2025-10236"/>
    <d v="2025-07-28T00:00:00"/>
    <x v="3"/>
    <x v="1"/>
    <s v="Pens &amp; Art"/>
    <s v="Gel Pens 12-Pack"/>
    <n v="99.52"/>
    <n v="3"/>
    <n v="0.05"/>
    <n v="16.48"/>
    <s v="Neha Singh"/>
    <x v="3"/>
  </r>
  <r>
    <s v="ORD-2025-10253"/>
    <d v="2025-09-19T00:00:00"/>
    <x v="1"/>
    <x v="0"/>
    <s v="Furnishings"/>
    <s v="Ergonomic Mesh Chair"/>
    <n v="3677.58"/>
    <n v="10"/>
    <n v="0.1"/>
    <n v="-23.02"/>
    <s v="Ankit Gupta"/>
    <x v="3"/>
  </r>
  <r>
    <s v="ORD-2024-10022"/>
    <d v="2024-02-22T00:00:00"/>
    <x v="1"/>
    <x v="1"/>
    <s v="Appliances"/>
    <s v="Heavy Duty Binder"/>
    <n v="607.04"/>
    <n v="8"/>
    <n v="0"/>
    <n v="142.34"/>
    <s v="Ankit Gupta"/>
    <x v="3"/>
  </r>
  <r>
    <s v="ORD-2025-10161"/>
    <d v="2025-02-05T00:00:00"/>
    <x v="0"/>
    <x v="2"/>
    <s v="Copiers"/>
    <s v="Mechanical Keyboard"/>
    <n v="6105.35"/>
    <n v="7"/>
    <n v="0.15"/>
    <n v="1073.1600000000001"/>
    <s v="Rahul Verma"/>
    <x v="0"/>
  </r>
  <r>
    <s v="ORD-2025-10277"/>
    <d v="2025-11-12T00:00:00"/>
    <x v="3"/>
    <x v="2"/>
    <s v="Machines"/>
    <s v="Wireless Headset Pro"/>
    <n v="4804.99"/>
    <n v="6"/>
    <n v="0.2"/>
    <n v="568.82000000000005"/>
    <s v="Neha Singh"/>
    <x v="0"/>
  </r>
  <r>
    <s v="ORD-2025-10192"/>
    <d v="2025-04-17T00:00:00"/>
    <x v="2"/>
    <x v="1"/>
    <s v="Binders"/>
    <s v="Stapler Executive Pro"/>
    <n v="146.13"/>
    <n v="2"/>
    <n v="0.05"/>
    <n v="25.35"/>
    <s v="Priya Sharma"/>
    <x v="3"/>
  </r>
  <r>
    <s v="ORD-2025-10258"/>
    <d v="2025-10-02T00:00:00"/>
    <x v="2"/>
    <x v="0"/>
    <s v="Chairs"/>
    <s v="Standing Desk Frame"/>
    <n v="448.11"/>
    <n v="6"/>
    <n v="0.5"/>
    <n v="-251.59"/>
    <s v="Priya Sharma"/>
    <x v="2"/>
  </r>
  <r>
    <s v="ORD-2025-10150"/>
    <d v="2025-01-19T00:00:00"/>
    <x v="1"/>
    <x v="2"/>
    <s v="Accessories"/>
    <s v="Workstation PC Pro"/>
    <n v="8505.52"/>
    <n v="8"/>
    <n v="0"/>
    <n v="3240.93"/>
    <s v="Ankit Gupta"/>
    <x v="3"/>
  </r>
  <r>
    <s v="ORD-2024-10131"/>
    <d v="2024-12-03T00:00:00"/>
    <x v="1"/>
    <x v="1"/>
    <s v="Storage"/>
    <s v="Heavy Duty Binder"/>
    <n v="169.09"/>
    <n v="3"/>
    <n v="0.4"/>
    <n v="-48.91"/>
    <s v="Ankit Gupta"/>
    <x v="2"/>
  </r>
  <r>
    <s v="ORD-2025-10152"/>
    <d v="2025-01-20T00:00:00"/>
    <x v="0"/>
    <x v="2"/>
    <s v="Copiers"/>
    <s v="Workstation PC Pro"/>
    <n v="7038.71"/>
    <n v="7"/>
    <n v="0"/>
    <n v="2773.75"/>
    <s v="Rahul Verma"/>
    <x v="3"/>
  </r>
  <r>
    <s v="ORD-2024-10100"/>
    <d v="2024-08-29T00:00:00"/>
    <x v="2"/>
    <x v="2"/>
    <s v="Machines"/>
    <s v="Wireless Headset Pro"/>
    <n v="2178.7199999999998"/>
    <n v="6"/>
    <n v="0.4"/>
    <n v="-330.53"/>
    <s v="Priya Sharma"/>
    <x v="2"/>
  </r>
  <r>
    <s v="ORD-2024-10088"/>
    <d v="2024-08-07T00:00:00"/>
    <x v="3"/>
    <x v="1"/>
    <s v="Paper"/>
    <s v="Heavy Duty Binder"/>
    <n v="1097.5999999999999"/>
    <n v="10"/>
    <n v="0"/>
    <n v="256.13"/>
    <s v="Neha Singh"/>
    <x v="3"/>
  </r>
  <r>
    <s v="ORD-2025-10215"/>
    <d v="2025-06-04T00:00:00"/>
    <x v="3"/>
    <x v="2"/>
    <s v="Machines"/>
    <s v="Mechanical Keyboard"/>
    <n v="216.74"/>
    <n v="1"/>
    <n v="0.2"/>
    <n v="21"/>
    <s v="Neha Singh"/>
    <x v="0"/>
  </r>
  <r>
    <s v="ORD-2024-10122"/>
    <d v="2024-10-30T00:00:00"/>
    <x v="0"/>
    <x v="0"/>
    <s v="Chairs"/>
    <s v="Conference Table 8ft"/>
    <n v="2577.35"/>
    <n v="4"/>
    <n v="0.1"/>
    <n v="-62.92"/>
    <s v="Rahul Verma"/>
    <x v="3"/>
  </r>
  <r>
    <s v="ORD-2025-10180"/>
    <d v="2025-03-31T00:00:00"/>
    <x v="2"/>
    <x v="0"/>
    <s v="Tables"/>
    <s v="Lounge Sofa Seat"/>
    <n v="995.97"/>
    <n v="4"/>
    <n v="0.2"/>
    <n v="-165.36"/>
    <s v="Priya Sharma"/>
    <x v="0"/>
  </r>
  <r>
    <s v="ORD-2024-10021"/>
    <d v="2024-02-22T00:00:00"/>
    <x v="0"/>
    <x v="1"/>
    <s v="Appliances"/>
    <s v="Gel Pens 12-Pack"/>
    <n v="50.28"/>
    <n v="3"/>
    <n v="0.5"/>
    <n v="-20.46"/>
    <s v="Rahul Verma"/>
    <x v="2"/>
  </r>
  <r>
    <s v="ORD-2025-10189"/>
    <d v="2025-04-16T00:00:00"/>
    <x v="1"/>
    <x v="0"/>
    <s v="Chairs"/>
    <s v="Lounge Sofa Seat"/>
    <n v="3420"/>
    <n v="10"/>
    <n v="0"/>
    <n v="441.49"/>
    <s v="Ankit Gupta"/>
    <x v="3"/>
  </r>
  <r>
    <s v="ORD-2024-10072"/>
    <d v="2024-07-05T00:00:00"/>
    <x v="0"/>
    <x v="1"/>
    <s v="Paper"/>
    <s v="Copy Paper 500 Sheets"/>
    <n v="412.16"/>
    <n v="10"/>
    <n v="0.2"/>
    <n v="-14.95"/>
    <s v="Rahul Verma"/>
    <x v="0"/>
  </r>
  <r>
    <s v="ORD-2024-10107"/>
    <d v="2024-09-10T00:00:00"/>
    <x v="0"/>
    <x v="2"/>
    <s v="Machines"/>
    <s v="HD Web Camera"/>
    <n v="2198.81"/>
    <n v="4"/>
    <n v="0.4"/>
    <n v="-338.98"/>
    <s v="Rahul Verma"/>
    <x v="2"/>
  </r>
  <r>
    <s v="ORD-2025-10271"/>
    <d v="2025-10-25T00:00:00"/>
    <x v="0"/>
    <x v="1"/>
    <s v="Binders"/>
    <s v="Gel Pens 12-Pack"/>
    <n v="573.84"/>
    <n v="6"/>
    <n v="0.2"/>
    <n v="-14.17"/>
    <s v="Rahul Verma"/>
    <x v="0"/>
  </r>
  <r>
    <s v="ORD-2024-10103"/>
    <d v="2024-09-03T00:00:00"/>
    <x v="0"/>
    <x v="1"/>
    <s v="Paper"/>
    <s v="Copy Paper 500 Sheets"/>
    <n v="366.12"/>
    <n v="8"/>
    <n v="0.1"/>
    <n v="45.77"/>
    <s v="Rahul Verma"/>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D34F5E-B36B-49C3-8C44-CE8AECB79AB4}" name="Average Profit by Discount Rang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Discount">
  <location ref="E20:F25" firstHeaderRow="1" firstDataRow="1" firstDataCol="1"/>
  <pivotFields count="12">
    <pivotField showAll="0"/>
    <pivotField numFmtId="14" showAll="0"/>
    <pivotField showAll="0"/>
    <pivotField showAll="0"/>
    <pivotField showAll="0"/>
    <pivotField showAll="0"/>
    <pivotField showAll="0"/>
    <pivotField showAll="0"/>
    <pivotField showAll="0"/>
    <pivotField dataField="1" showAll="0"/>
    <pivotField showAll="0"/>
    <pivotField axis="axisRow" showAll="0">
      <items count="5">
        <item x="3"/>
        <item x="0"/>
        <item x="1"/>
        <item x="2"/>
        <item t="default"/>
      </items>
    </pivotField>
  </pivotFields>
  <rowFields count="1">
    <field x="11"/>
  </rowFields>
  <rowItems count="5">
    <i>
      <x/>
    </i>
    <i>
      <x v="1"/>
    </i>
    <i>
      <x v="2"/>
    </i>
    <i>
      <x v="3"/>
    </i>
    <i t="grand">
      <x/>
    </i>
  </rowItems>
  <colItems count="1">
    <i/>
  </colItems>
  <dataFields count="1">
    <dataField name="Average Profit" fld="9" subtotal="average" baseField="11" baseItem="0" numFmtId="2"/>
  </dataFields>
  <formats count="1">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CEA852-AF20-4F84-B0D6-92B8E45AB2D5}" name="Sales &amp; Profit by Category"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rowHeaderCaption="Category">
  <location ref="B27:D31" firstHeaderRow="0" firstDataRow="1" firstDataCol="1"/>
  <pivotFields count="12">
    <pivotField showAll="0"/>
    <pivotField numFmtId="14" showAll="0"/>
    <pivotField showAll="0"/>
    <pivotField axis="axisRow" showAll="0">
      <items count="4">
        <item x="0"/>
        <item sd="0" x="1"/>
        <item sd="0" x="2"/>
        <item t="default"/>
      </items>
    </pivotField>
    <pivotField showAll="0"/>
    <pivotField showAll="0"/>
    <pivotField dataField="1" showAll="0"/>
    <pivotField showAll="0"/>
    <pivotField showAll="0"/>
    <pivotField dataField="1" showAll="0"/>
    <pivotField showAll="0"/>
    <pivotField showAll="0"/>
  </pivotFields>
  <rowFields count="1">
    <field x="3"/>
  </rowFields>
  <rowItems count="4">
    <i>
      <x/>
    </i>
    <i>
      <x v="1"/>
    </i>
    <i>
      <x v="2"/>
    </i>
    <i t="grand">
      <x/>
    </i>
  </rowItems>
  <colFields count="1">
    <field x="-2"/>
  </colFields>
  <colItems count="2">
    <i>
      <x/>
    </i>
    <i i="1">
      <x v="1"/>
    </i>
  </colItems>
  <dataFields count="2">
    <dataField name="Total sales" fld="6" baseField="3" baseItem="0"/>
    <dataField name="Total Profit" fld="9" baseField="3" baseItem="0"/>
  </dataFields>
  <formats count="2">
    <format dxfId="32">
      <pivotArea outline="0" collapsedLevelsAreSubtotals="1" fieldPosition="0"/>
    </format>
    <format dxfId="31">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1B9D9B-074E-407D-9232-CF984BDD761A}" name="Sales by Region"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Region">
  <location ref="B20:C25" firstHeaderRow="1" firstDataRow="1" firstDataCol="1"/>
  <pivotFields count="12">
    <pivotField showAll="0"/>
    <pivotField numFmtId="14" showAll="0"/>
    <pivotField axis="axisRow" showAll="0">
      <items count="5">
        <item x="1"/>
        <item x="2"/>
        <item x="3"/>
        <item x="0"/>
        <item t="default"/>
      </items>
    </pivotField>
    <pivotField showAll="0">
      <items count="4">
        <item x="0"/>
        <item x="1"/>
        <item x="2"/>
        <item t="default"/>
      </items>
    </pivotField>
    <pivotField showAll="0"/>
    <pivotField showAll="0"/>
    <pivotField dataField="1" showAll="0"/>
    <pivotField showAll="0"/>
    <pivotField showAll="0"/>
    <pivotField showAll="0"/>
    <pivotField showAll="0"/>
    <pivotField showAll="0"/>
  </pivotFields>
  <rowFields count="1">
    <field x="2"/>
  </rowFields>
  <rowItems count="5">
    <i>
      <x/>
    </i>
    <i>
      <x v="1"/>
    </i>
    <i>
      <x v="2"/>
    </i>
    <i>
      <x v="3"/>
    </i>
    <i t="grand">
      <x/>
    </i>
  </rowItems>
  <colItems count="1">
    <i/>
  </colItems>
  <dataFields count="1">
    <dataField name="Total sales" fld="6" baseField="2" baseItem="0" numFmtId="43"/>
  </dataFields>
  <formats count="1">
    <format dxfId="8">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AE77B1B-06F8-412B-BFF4-2F4612B17395}" autoFormatId="16" applyNumberFormats="0" applyBorderFormats="0" applyFontFormats="0" applyPatternFormats="0" applyAlignmentFormats="0" applyWidthHeightFormats="0">
  <queryTableRefresh nextId="14" unboundColumnsRight="2">
    <queryTableFields count="12">
      <queryTableField id="1" name="Order ID" tableColumnId="1"/>
      <queryTableField id="2" name="Order Date" tableColumnId="2"/>
      <queryTableField id="3" name="Region" tableColumnId="3"/>
      <queryTableField id="4" name="Category" tableColumnId="4"/>
      <queryTableField id="5" name="Sub-Category" tableColumnId="5"/>
      <queryTableField id="6" name="Product Name" tableColumnId="6"/>
      <queryTableField id="7" name="Sales" tableColumnId="7"/>
      <queryTableField id="8" name="Quantity" tableColumnId="8"/>
      <queryTableField id="9" name="Discount" tableColumnId="9"/>
      <queryTableField id="10" name="Profit" tableColumnId="10"/>
      <queryTableField id="11" dataBound="0" tableColumnId="11"/>
      <queryTableField id="13" dataBound="0"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9BFF2C8-BDBF-4647-9610-4C5B09427637}" sourceName="Region">
  <pivotTables>
    <pivotTable tabId="3" name="Sales by Region"/>
  </pivotTables>
  <data>
    <tabular pivotCacheId="808147611">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7092552-7E1D-4739-9E1A-5D66A6F8FC4A}" sourceName="Category">
  <pivotTables>
    <pivotTable tabId="3" name="Sales by Region"/>
  </pivotTables>
  <data>
    <tabular pivotCacheId="80814761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BFE9D67-21A1-4780-934D-148247ABA481}" cache="Slicer_Region" caption="Region" rowHeight="241300"/>
  <slicer name="Category" xr10:uid="{95DCB691-ACE9-4C6C-BFC3-3CB65D64BB8D}" cache="Slicer_Category" caption="Categor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6B0D38C-7C75-4595-BD95-88451B0213A7}" name="Order_ID_Order" displayName="Order_ID_Order" ref="A1:L297" tableType="queryTable" totalsRowShown="0">
  <autoFilter ref="A1:L297" xr:uid="{76B0D38C-7C75-4595-BD95-88451B0213A7}"/>
  <tableColumns count="12">
    <tableColumn id="1" xr3:uid="{CEA587B1-CAE8-498B-9FE0-91818BD71D8F}" uniqueName="1" name="Order ID" queryTableFieldId="1" dataDxfId="40"/>
    <tableColumn id="2" xr3:uid="{ACD98588-7A76-434F-9342-C7BB03D83773}" uniqueName="2" name="Order Date" queryTableFieldId="2" dataDxfId="39"/>
    <tableColumn id="3" xr3:uid="{2A603267-A510-43D7-9E69-6A52FBADDAAB}" uniqueName="3" name="Region" queryTableFieldId="3" dataDxfId="38"/>
    <tableColumn id="4" xr3:uid="{471C8449-6B06-448E-B85F-4D89C3A771D1}" uniqueName="4" name="Category" queryTableFieldId="4" dataDxfId="37"/>
    <tableColumn id="5" xr3:uid="{201DDE7E-82E9-4ABB-887C-4F7BB682E111}" uniqueName="5" name="Sub-Category" queryTableFieldId="5" dataDxfId="36"/>
    <tableColumn id="6" xr3:uid="{4B8BDBC0-EC7C-4B71-B867-4A8754ACFC3E}" uniqueName="6" name="Product Name" queryTableFieldId="6" dataDxfId="35"/>
    <tableColumn id="7" xr3:uid="{4E4CECAE-59EF-440E-81A1-DF3D52C2BE2F}" uniqueName="7" name="Sales" queryTableFieldId="7"/>
    <tableColumn id="8" xr3:uid="{D4CF2128-5239-431E-830C-99084A401F28}" uniqueName="8" name="Quantity" queryTableFieldId="8"/>
    <tableColumn id="9" xr3:uid="{366B39DA-C011-444F-A845-FD45A3F3191A}" uniqueName="9" name="Discount" queryTableFieldId="9"/>
    <tableColumn id="10" xr3:uid="{89B10FC4-EAA6-4C4F-8929-A2DD2135ADBB}" uniqueName="10" name="Profit" queryTableFieldId="10"/>
    <tableColumn id="11" xr3:uid="{220A1CE4-EC58-4D48-B2FC-AAFF511D86CF}" uniqueName="11" name="Regional Manager" queryTableFieldId="11" dataDxfId="34">
      <calculatedColumnFormula>_xlfn.XLOOKUP(Order_ID_Order[[#This Row],[Region]],'Analysis Dashboard'!O$2:O$5,'Analysis Dashboard'!P$2:P$5)</calculatedColumnFormula>
    </tableColumn>
    <tableColumn id="14" xr3:uid="{23A9FF50-A007-49B1-82A4-7872AE194306}" uniqueName="14" name="Discount Range" queryTableFieldId="13" dataDxfId="33">
      <calculatedColumnFormula>IF(I2&lt;=0.1,"0-10%",IF(I2&lt;=0.2,"11-20%",IF(I2&lt;=0.3,"21-30%","31-40%")))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1FA49-532B-4DB2-B33C-1ACBCE2AB086}">
  <dimension ref="A1:A315"/>
  <sheetViews>
    <sheetView workbookViewId="0">
      <selection activeCell="G71" sqref="G71"/>
    </sheetView>
  </sheetViews>
  <sheetFormatPr defaultRowHeight="15" x14ac:dyDescent="0.25"/>
  <sheetData>
    <row r="1" spans="1:1" x14ac:dyDescent="0.25">
      <c r="A1" t="s">
        <v>341</v>
      </c>
    </row>
    <row r="2" spans="1:1" x14ac:dyDescent="0.25">
      <c r="A2" t="s">
        <v>342</v>
      </c>
    </row>
    <row r="3" spans="1:1" x14ac:dyDescent="0.25">
      <c r="A3" t="s">
        <v>343</v>
      </c>
    </row>
    <row r="4" spans="1:1" x14ac:dyDescent="0.25">
      <c r="A4" t="s">
        <v>344</v>
      </c>
    </row>
    <row r="5" spans="1:1" x14ac:dyDescent="0.25">
      <c r="A5" t="s">
        <v>345</v>
      </c>
    </row>
    <row r="6" spans="1:1" x14ac:dyDescent="0.25">
      <c r="A6" t="s">
        <v>346</v>
      </c>
    </row>
    <row r="7" spans="1:1" x14ac:dyDescent="0.25">
      <c r="A7" t="s">
        <v>347</v>
      </c>
    </row>
    <row r="8" spans="1:1" x14ac:dyDescent="0.25">
      <c r="A8" t="s">
        <v>348</v>
      </c>
    </row>
    <row r="9" spans="1:1" x14ac:dyDescent="0.25">
      <c r="A9" t="s">
        <v>349</v>
      </c>
    </row>
    <row r="10" spans="1:1" x14ac:dyDescent="0.25">
      <c r="A10" t="s">
        <v>350</v>
      </c>
    </row>
    <row r="11" spans="1:1" x14ac:dyDescent="0.25">
      <c r="A11" t="s">
        <v>351</v>
      </c>
    </row>
    <row r="12" spans="1:1" x14ac:dyDescent="0.25">
      <c r="A12" t="s">
        <v>352</v>
      </c>
    </row>
    <row r="13" spans="1:1" x14ac:dyDescent="0.25">
      <c r="A13" t="s">
        <v>353</v>
      </c>
    </row>
    <row r="14" spans="1:1" x14ac:dyDescent="0.25">
      <c r="A14" t="s">
        <v>354</v>
      </c>
    </row>
    <row r="15" spans="1:1" x14ac:dyDescent="0.25">
      <c r="A15" t="s">
        <v>355</v>
      </c>
    </row>
    <row r="16" spans="1:1" x14ac:dyDescent="0.25">
      <c r="A16" t="s">
        <v>356</v>
      </c>
    </row>
    <row r="17" spans="1:1" x14ac:dyDescent="0.25">
      <c r="A17" t="s">
        <v>357</v>
      </c>
    </row>
    <row r="18" spans="1:1" x14ac:dyDescent="0.25">
      <c r="A18" t="s">
        <v>358</v>
      </c>
    </row>
    <row r="19" spans="1:1" x14ac:dyDescent="0.25">
      <c r="A19" t="s">
        <v>359</v>
      </c>
    </row>
    <row r="20" spans="1:1" x14ac:dyDescent="0.25">
      <c r="A20" t="s">
        <v>360</v>
      </c>
    </row>
    <row r="21" spans="1:1" x14ac:dyDescent="0.25">
      <c r="A21" t="s">
        <v>361</v>
      </c>
    </row>
    <row r="22" spans="1:1" x14ac:dyDescent="0.25">
      <c r="A22" t="s">
        <v>362</v>
      </c>
    </row>
    <row r="23" spans="1:1" x14ac:dyDescent="0.25">
      <c r="A23" t="s">
        <v>363</v>
      </c>
    </row>
    <row r="24" spans="1:1" x14ac:dyDescent="0.25">
      <c r="A24" t="s">
        <v>364</v>
      </c>
    </row>
    <row r="25" spans="1:1" x14ac:dyDescent="0.25">
      <c r="A25" t="s">
        <v>365</v>
      </c>
    </row>
    <row r="26" spans="1:1" x14ac:dyDescent="0.25">
      <c r="A26" t="s">
        <v>366</v>
      </c>
    </row>
    <row r="27" spans="1:1" x14ac:dyDescent="0.25">
      <c r="A27" t="s">
        <v>367</v>
      </c>
    </row>
    <row r="28" spans="1:1" x14ac:dyDescent="0.25">
      <c r="A28" t="s">
        <v>368</v>
      </c>
    </row>
    <row r="29" spans="1:1" x14ac:dyDescent="0.25">
      <c r="A29" t="s">
        <v>369</v>
      </c>
    </row>
    <row r="30" spans="1:1" x14ac:dyDescent="0.25">
      <c r="A30" t="s">
        <v>370</v>
      </c>
    </row>
    <row r="31" spans="1:1" x14ac:dyDescent="0.25">
      <c r="A31" t="s">
        <v>371</v>
      </c>
    </row>
    <row r="32" spans="1:1" x14ac:dyDescent="0.25">
      <c r="A32" t="s">
        <v>372</v>
      </c>
    </row>
    <row r="33" spans="1:1" x14ac:dyDescent="0.25">
      <c r="A33" t="s">
        <v>373</v>
      </c>
    </row>
    <row r="34" spans="1:1" x14ac:dyDescent="0.25">
      <c r="A34" t="s">
        <v>374</v>
      </c>
    </row>
    <row r="35" spans="1:1" x14ac:dyDescent="0.25">
      <c r="A35" t="s">
        <v>375</v>
      </c>
    </row>
    <row r="36" spans="1:1" x14ac:dyDescent="0.25">
      <c r="A36" t="s">
        <v>376</v>
      </c>
    </row>
    <row r="37" spans="1:1" x14ac:dyDescent="0.25">
      <c r="A37" t="s">
        <v>377</v>
      </c>
    </row>
    <row r="38" spans="1:1" x14ac:dyDescent="0.25">
      <c r="A38" t="s">
        <v>378</v>
      </c>
    </row>
    <row r="39" spans="1:1" x14ac:dyDescent="0.25">
      <c r="A39" t="s">
        <v>379</v>
      </c>
    </row>
    <row r="40" spans="1:1" x14ac:dyDescent="0.25">
      <c r="A40" t="s">
        <v>380</v>
      </c>
    </row>
    <row r="41" spans="1:1" x14ac:dyDescent="0.25">
      <c r="A41" t="s">
        <v>381</v>
      </c>
    </row>
    <row r="42" spans="1:1" x14ac:dyDescent="0.25">
      <c r="A42" t="s">
        <v>382</v>
      </c>
    </row>
    <row r="43" spans="1:1" x14ac:dyDescent="0.25">
      <c r="A43" t="s">
        <v>383</v>
      </c>
    </row>
    <row r="44" spans="1:1" x14ac:dyDescent="0.25">
      <c r="A44" t="s">
        <v>384</v>
      </c>
    </row>
    <row r="45" spans="1:1" x14ac:dyDescent="0.25">
      <c r="A45" t="s">
        <v>385</v>
      </c>
    </row>
    <row r="46" spans="1:1" x14ac:dyDescent="0.25">
      <c r="A46" t="s">
        <v>386</v>
      </c>
    </row>
    <row r="47" spans="1:1" x14ac:dyDescent="0.25">
      <c r="A47" t="s">
        <v>387</v>
      </c>
    </row>
    <row r="48" spans="1:1" x14ac:dyDescent="0.25">
      <c r="A48" t="s">
        <v>388</v>
      </c>
    </row>
    <row r="49" spans="1:1" x14ac:dyDescent="0.25">
      <c r="A49" t="s">
        <v>389</v>
      </c>
    </row>
    <row r="50" spans="1:1" x14ac:dyDescent="0.25">
      <c r="A50" t="s">
        <v>390</v>
      </c>
    </row>
    <row r="51" spans="1:1" x14ac:dyDescent="0.25">
      <c r="A51" t="s">
        <v>391</v>
      </c>
    </row>
    <row r="52" spans="1:1" x14ac:dyDescent="0.25">
      <c r="A52" t="s">
        <v>392</v>
      </c>
    </row>
    <row r="53" spans="1:1" x14ac:dyDescent="0.25">
      <c r="A53" t="s">
        <v>393</v>
      </c>
    </row>
    <row r="54" spans="1:1" x14ac:dyDescent="0.25">
      <c r="A54" t="s">
        <v>394</v>
      </c>
    </row>
    <row r="55" spans="1:1" x14ac:dyDescent="0.25">
      <c r="A55" t="s">
        <v>395</v>
      </c>
    </row>
    <row r="56" spans="1:1" x14ac:dyDescent="0.25">
      <c r="A56" t="s">
        <v>396</v>
      </c>
    </row>
    <row r="57" spans="1:1" x14ac:dyDescent="0.25">
      <c r="A57" t="s">
        <v>397</v>
      </c>
    </row>
    <row r="58" spans="1:1" x14ac:dyDescent="0.25">
      <c r="A58" t="s">
        <v>398</v>
      </c>
    </row>
    <row r="59" spans="1:1" x14ac:dyDescent="0.25">
      <c r="A59" t="s">
        <v>399</v>
      </c>
    </row>
    <row r="60" spans="1:1" x14ac:dyDescent="0.25">
      <c r="A60" t="s">
        <v>400</v>
      </c>
    </row>
    <row r="61" spans="1:1" x14ac:dyDescent="0.25">
      <c r="A61" t="s">
        <v>401</v>
      </c>
    </row>
    <row r="62" spans="1:1" x14ac:dyDescent="0.25">
      <c r="A62" t="s">
        <v>402</v>
      </c>
    </row>
    <row r="63" spans="1:1" x14ac:dyDescent="0.25">
      <c r="A63" t="s">
        <v>403</v>
      </c>
    </row>
    <row r="64" spans="1:1" x14ac:dyDescent="0.25">
      <c r="A64" t="s">
        <v>356</v>
      </c>
    </row>
    <row r="65" spans="1:1" x14ac:dyDescent="0.25">
      <c r="A65" t="s">
        <v>404</v>
      </c>
    </row>
    <row r="66" spans="1:1" x14ac:dyDescent="0.25">
      <c r="A66" t="s">
        <v>405</v>
      </c>
    </row>
    <row r="67" spans="1:1" x14ac:dyDescent="0.25">
      <c r="A67" t="s">
        <v>406</v>
      </c>
    </row>
    <row r="68" spans="1:1" x14ac:dyDescent="0.25">
      <c r="A68" t="s">
        <v>407</v>
      </c>
    </row>
    <row r="69" spans="1:1" x14ac:dyDescent="0.25">
      <c r="A69" t="s">
        <v>408</v>
      </c>
    </row>
    <row r="70" spans="1:1" x14ac:dyDescent="0.25">
      <c r="A70" t="s">
        <v>409</v>
      </c>
    </row>
    <row r="71" spans="1:1" x14ac:dyDescent="0.25">
      <c r="A71" t="s">
        <v>410</v>
      </c>
    </row>
    <row r="72" spans="1:1" x14ac:dyDescent="0.25">
      <c r="A72" t="s">
        <v>411</v>
      </c>
    </row>
    <row r="73" spans="1:1" x14ac:dyDescent="0.25">
      <c r="A73" t="s">
        <v>412</v>
      </c>
    </row>
    <row r="74" spans="1:1" x14ac:dyDescent="0.25">
      <c r="A74" t="s">
        <v>413</v>
      </c>
    </row>
    <row r="75" spans="1:1" x14ac:dyDescent="0.25">
      <c r="A75" t="s">
        <v>345</v>
      </c>
    </row>
    <row r="76" spans="1:1" x14ac:dyDescent="0.25">
      <c r="A76" t="s">
        <v>414</v>
      </c>
    </row>
    <row r="77" spans="1:1" x14ac:dyDescent="0.25">
      <c r="A77" t="s">
        <v>415</v>
      </c>
    </row>
    <row r="78" spans="1:1" x14ac:dyDescent="0.25">
      <c r="A78" t="s">
        <v>416</v>
      </c>
    </row>
    <row r="79" spans="1:1" x14ac:dyDescent="0.25">
      <c r="A79" t="s">
        <v>417</v>
      </c>
    </row>
    <row r="80" spans="1:1" x14ac:dyDescent="0.25">
      <c r="A80" t="s">
        <v>418</v>
      </c>
    </row>
    <row r="81" spans="1:1" x14ac:dyDescent="0.25">
      <c r="A81" t="s">
        <v>419</v>
      </c>
    </row>
    <row r="82" spans="1:1" x14ac:dyDescent="0.25">
      <c r="A82" t="s">
        <v>420</v>
      </c>
    </row>
    <row r="83" spans="1:1" x14ac:dyDescent="0.25">
      <c r="A83" t="s">
        <v>421</v>
      </c>
    </row>
    <row r="84" spans="1:1" x14ac:dyDescent="0.25">
      <c r="A84" t="s">
        <v>422</v>
      </c>
    </row>
    <row r="85" spans="1:1" x14ac:dyDescent="0.25">
      <c r="A85" t="s">
        <v>423</v>
      </c>
    </row>
    <row r="86" spans="1:1" x14ac:dyDescent="0.25">
      <c r="A86" t="s">
        <v>424</v>
      </c>
    </row>
    <row r="87" spans="1:1" x14ac:dyDescent="0.25">
      <c r="A87" t="s">
        <v>425</v>
      </c>
    </row>
    <row r="88" spans="1:1" x14ac:dyDescent="0.25">
      <c r="A88" t="s">
        <v>426</v>
      </c>
    </row>
    <row r="89" spans="1:1" x14ac:dyDescent="0.25">
      <c r="A89" t="s">
        <v>427</v>
      </c>
    </row>
    <row r="90" spans="1:1" x14ac:dyDescent="0.25">
      <c r="A90" t="s">
        <v>428</v>
      </c>
    </row>
    <row r="91" spans="1:1" x14ac:dyDescent="0.25">
      <c r="A91" t="s">
        <v>429</v>
      </c>
    </row>
    <row r="92" spans="1:1" x14ac:dyDescent="0.25">
      <c r="A92" t="s">
        <v>430</v>
      </c>
    </row>
    <row r="93" spans="1:1" x14ac:dyDescent="0.25">
      <c r="A93" t="s">
        <v>431</v>
      </c>
    </row>
    <row r="94" spans="1:1" x14ac:dyDescent="0.25">
      <c r="A94" t="s">
        <v>432</v>
      </c>
    </row>
    <row r="95" spans="1:1" x14ac:dyDescent="0.25">
      <c r="A95" t="s">
        <v>345</v>
      </c>
    </row>
    <row r="96" spans="1:1" x14ac:dyDescent="0.25">
      <c r="A96" t="s">
        <v>433</v>
      </c>
    </row>
    <row r="97" spans="1:1" x14ac:dyDescent="0.25">
      <c r="A97" t="s">
        <v>434</v>
      </c>
    </row>
    <row r="98" spans="1:1" x14ac:dyDescent="0.25">
      <c r="A98" t="s">
        <v>435</v>
      </c>
    </row>
    <row r="99" spans="1:1" x14ac:dyDescent="0.25">
      <c r="A99" t="s">
        <v>436</v>
      </c>
    </row>
    <row r="100" spans="1:1" x14ac:dyDescent="0.25">
      <c r="A100" t="s">
        <v>437</v>
      </c>
    </row>
    <row r="101" spans="1:1" x14ac:dyDescent="0.25">
      <c r="A101" t="s">
        <v>438</v>
      </c>
    </row>
    <row r="102" spans="1:1" x14ac:dyDescent="0.25">
      <c r="A102" t="s">
        <v>439</v>
      </c>
    </row>
    <row r="103" spans="1:1" x14ac:dyDescent="0.25">
      <c r="A103" t="s">
        <v>440</v>
      </c>
    </row>
    <row r="104" spans="1:1" x14ac:dyDescent="0.25">
      <c r="A104" t="s">
        <v>441</v>
      </c>
    </row>
    <row r="105" spans="1:1" x14ac:dyDescent="0.25">
      <c r="A105" t="s">
        <v>442</v>
      </c>
    </row>
    <row r="106" spans="1:1" x14ac:dyDescent="0.25">
      <c r="A106" t="s">
        <v>443</v>
      </c>
    </row>
    <row r="107" spans="1:1" x14ac:dyDescent="0.25">
      <c r="A107" t="s">
        <v>444</v>
      </c>
    </row>
    <row r="108" spans="1:1" x14ac:dyDescent="0.25">
      <c r="A108" t="s">
        <v>445</v>
      </c>
    </row>
    <row r="109" spans="1:1" x14ac:dyDescent="0.25">
      <c r="A109" t="s">
        <v>446</v>
      </c>
    </row>
    <row r="110" spans="1:1" x14ac:dyDescent="0.25">
      <c r="A110" t="s">
        <v>447</v>
      </c>
    </row>
    <row r="111" spans="1:1" x14ac:dyDescent="0.25">
      <c r="A111" t="s">
        <v>448</v>
      </c>
    </row>
    <row r="112" spans="1:1" x14ac:dyDescent="0.25">
      <c r="A112" t="s">
        <v>449</v>
      </c>
    </row>
    <row r="113" spans="1:1" x14ac:dyDescent="0.25">
      <c r="A113" t="s">
        <v>450</v>
      </c>
    </row>
    <row r="114" spans="1:1" x14ac:dyDescent="0.25">
      <c r="A114" t="s">
        <v>451</v>
      </c>
    </row>
    <row r="115" spans="1:1" x14ac:dyDescent="0.25">
      <c r="A115" t="s">
        <v>452</v>
      </c>
    </row>
    <row r="116" spans="1:1" x14ac:dyDescent="0.25">
      <c r="A116" t="s">
        <v>453</v>
      </c>
    </row>
    <row r="117" spans="1:1" x14ac:dyDescent="0.25">
      <c r="A117" t="s">
        <v>454</v>
      </c>
    </row>
    <row r="118" spans="1:1" x14ac:dyDescent="0.25">
      <c r="A118" t="s">
        <v>455</v>
      </c>
    </row>
    <row r="119" spans="1:1" x14ac:dyDescent="0.25">
      <c r="A119" t="s">
        <v>456</v>
      </c>
    </row>
    <row r="120" spans="1:1" x14ac:dyDescent="0.25">
      <c r="A120" t="s">
        <v>457</v>
      </c>
    </row>
    <row r="121" spans="1:1" x14ac:dyDescent="0.25">
      <c r="A121" t="s">
        <v>458</v>
      </c>
    </row>
    <row r="122" spans="1:1" x14ac:dyDescent="0.25">
      <c r="A122" t="s">
        <v>459</v>
      </c>
    </row>
    <row r="123" spans="1:1" x14ac:dyDescent="0.25">
      <c r="A123" t="s">
        <v>460</v>
      </c>
    </row>
    <row r="124" spans="1:1" x14ac:dyDescent="0.25">
      <c r="A124" t="s">
        <v>461</v>
      </c>
    </row>
    <row r="125" spans="1:1" x14ac:dyDescent="0.25">
      <c r="A125" t="s">
        <v>462</v>
      </c>
    </row>
    <row r="126" spans="1:1" x14ac:dyDescent="0.25">
      <c r="A126" t="s">
        <v>463</v>
      </c>
    </row>
    <row r="127" spans="1:1" x14ac:dyDescent="0.25">
      <c r="A127" t="s">
        <v>464</v>
      </c>
    </row>
    <row r="128" spans="1:1" x14ac:dyDescent="0.25">
      <c r="A128" t="s">
        <v>465</v>
      </c>
    </row>
    <row r="129" spans="1:1" x14ac:dyDescent="0.25">
      <c r="A129" t="s">
        <v>466</v>
      </c>
    </row>
    <row r="130" spans="1:1" x14ac:dyDescent="0.25">
      <c r="A130" t="s">
        <v>467</v>
      </c>
    </row>
    <row r="131" spans="1:1" x14ac:dyDescent="0.25">
      <c r="A131" t="s">
        <v>468</v>
      </c>
    </row>
    <row r="132" spans="1:1" x14ac:dyDescent="0.25">
      <c r="A132" t="s">
        <v>349</v>
      </c>
    </row>
    <row r="133" spans="1:1" x14ac:dyDescent="0.25">
      <c r="A133" t="s">
        <v>469</v>
      </c>
    </row>
    <row r="134" spans="1:1" x14ac:dyDescent="0.25">
      <c r="A134" t="s">
        <v>470</v>
      </c>
    </row>
    <row r="135" spans="1:1" x14ac:dyDescent="0.25">
      <c r="A135" t="s">
        <v>471</v>
      </c>
    </row>
    <row r="136" spans="1:1" x14ac:dyDescent="0.25">
      <c r="A136" t="s">
        <v>472</v>
      </c>
    </row>
    <row r="137" spans="1:1" x14ac:dyDescent="0.25">
      <c r="A137" t="s">
        <v>473</v>
      </c>
    </row>
    <row r="138" spans="1:1" x14ac:dyDescent="0.25">
      <c r="A138" t="s">
        <v>474</v>
      </c>
    </row>
    <row r="139" spans="1:1" x14ac:dyDescent="0.25">
      <c r="A139" t="s">
        <v>475</v>
      </c>
    </row>
    <row r="140" spans="1:1" x14ac:dyDescent="0.25">
      <c r="A140" t="s">
        <v>476</v>
      </c>
    </row>
    <row r="141" spans="1:1" x14ac:dyDescent="0.25">
      <c r="A141" t="s">
        <v>477</v>
      </c>
    </row>
    <row r="142" spans="1:1" x14ac:dyDescent="0.25">
      <c r="A142" t="s">
        <v>478</v>
      </c>
    </row>
    <row r="143" spans="1:1" x14ac:dyDescent="0.25">
      <c r="A143" t="s">
        <v>479</v>
      </c>
    </row>
    <row r="144" spans="1:1" x14ac:dyDescent="0.25">
      <c r="A144" t="s">
        <v>480</v>
      </c>
    </row>
    <row r="145" spans="1:1" x14ac:dyDescent="0.25">
      <c r="A145" t="s">
        <v>481</v>
      </c>
    </row>
    <row r="146" spans="1:1" x14ac:dyDescent="0.25">
      <c r="A146" t="s">
        <v>482</v>
      </c>
    </row>
    <row r="147" spans="1:1" x14ac:dyDescent="0.25">
      <c r="A147" t="s">
        <v>483</v>
      </c>
    </row>
    <row r="148" spans="1:1" x14ac:dyDescent="0.25">
      <c r="A148" t="s">
        <v>484</v>
      </c>
    </row>
    <row r="149" spans="1:1" x14ac:dyDescent="0.25">
      <c r="A149" t="s">
        <v>485</v>
      </c>
    </row>
    <row r="150" spans="1:1" x14ac:dyDescent="0.25">
      <c r="A150" t="s">
        <v>486</v>
      </c>
    </row>
    <row r="151" spans="1:1" x14ac:dyDescent="0.25">
      <c r="A151" t="s">
        <v>487</v>
      </c>
    </row>
    <row r="152" spans="1:1" x14ac:dyDescent="0.25">
      <c r="A152" t="s">
        <v>488</v>
      </c>
    </row>
    <row r="153" spans="1:1" x14ac:dyDescent="0.25">
      <c r="A153" t="s">
        <v>489</v>
      </c>
    </row>
    <row r="154" spans="1:1" x14ac:dyDescent="0.25">
      <c r="A154" t="s">
        <v>490</v>
      </c>
    </row>
    <row r="155" spans="1:1" x14ac:dyDescent="0.25">
      <c r="A155" t="s">
        <v>491</v>
      </c>
    </row>
    <row r="156" spans="1:1" x14ac:dyDescent="0.25">
      <c r="A156" t="s">
        <v>492</v>
      </c>
    </row>
    <row r="157" spans="1:1" x14ac:dyDescent="0.25">
      <c r="A157" t="s">
        <v>493</v>
      </c>
    </row>
    <row r="158" spans="1:1" x14ac:dyDescent="0.25">
      <c r="A158" t="s">
        <v>494</v>
      </c>
    </row>
    <row r="159" spans="1:1" x14ac:dyDescent="0.25">
      <c r="A159" t="s">
        <v>495</v>
      </c>
    </row>
    <row r="160" spans="1:1" x14ac:dyDescent="0.25">
      <c r="A160" t="s">
        <v>496</v>
      </c>
    </row>
    <row r="161" spans="1:1" x14ac:dyDescent="0.25">
      <c r="A161" t="s">
        <v>497</v>
      </c>
    </row>
    <row r="162" spans="1:1" x14ac:dyDescent="0.25">
      <c r="A162" t="s">
        <v>498</v>
      </c>
    </row>
    <row r="163" spans="1:1" x14ac:dyDescent="0.25">
      <c r="A163" t="s">
        <v>499</v>
      </c>
    </row>
    <row r="164" spans="1:1" x14ac:dyDescent="0.25">
      <c r="A164" t="s">
        <v>500</v>
      </c>
    </row>
    <row r="165" spans="1:1" x14ac:dyDescent="0.25">
      <c r="A165" t="s">
        <v>501</v>
      </c>
    </row>
    <row r="166" spans="1:1" x14ac:dyDescent="0.25">
      <c r="A166" t="s">
        <v>502</v>
      </c>
    </row>
    <row r="167" spans="1:1" x14ac:dyDescent="0.25">
      <c r="A167" t="s">
        <v>503</v>
      </c>
    </row>
    <row r="168" spans="1:1" x14ac:dyDescent="0.25">
      <c r="A168" t="s">
        <v>504</v>
      </c>
    </row>
    <row r="169" spans="1:1" x14ac:dyDescent="0.25">
      <c r="A169" t="s">
        <v>505</v>
      </c>
    </row>
    <row r="170" spans="1:1" x14ac:dyDescent="0.25">
      <c r="A170" t="s">
        <v>506</v>
      </c>
    </row>
    <row r="171" spans="1:1" x14ac:dyDescent="0.25">
      <c r="A171" t="s">
        <v>507</v>
      </c>
    </row>
    <row r="172" spans="1:1" x14ac:dyDescent="0.25">
      <c r="A172" t="s">
        <v>508</v>
      </c>
    </row>
    <row r="173" spans="1:1" x14ac:dyDescent="0.25">
      <c r="A173" t="s">
        <v>509</v>
      </c>
    </row>
    <row r="174" spans="1:1" x14ac:dyDescent="0.25">
      <c r="A174" t="s">
        <v>510</v>
      </c>
    </row>
    <row r="175" spans="1:1" x14ac:dyDescent="0.25">
      <c r="A175" t="s">
        <v>511</v>
      </c>
    </row>
    <row r="176" spans="1:1" x14ac:dyDescent="0.25">
      <c r="A176" t="s">
        <v>512</v>
      </c>
    </row>
    <row r="177" spans="1:1" x14ac:dyDescent="0.25">
      <c r="A177" t="s">
        <v>513</v>
      </c>
    </row>
    <row r="178" spans="1:1" x14ac:dyDescent="0.25">
      <c r="A178" t="s">
        <v>514</v>
      </c>
    </row>
    <row r="179" spans="1:1" x14ac:dyDescent="0.25">
      <c r="A179" t="s">
        <v>515</v>
      </c>
    </row>
    <row r="180" spans="1:1" x14ac:dyDescent="0.25">
      <c r="A180" t="s">
        <v>516</v>
      </c>
    </row>
    <row r="181" spans="1:1" x14ac:dyDescent="0.25">
      <c r="A181" t="s">
        <v>517</v>
      </c>
    </row>
    <row r="182" spans="1:1" x14ac:dyDescent="0.25">
      <c r="A182" t="s">
        <v>518</v>
      </c>
    </row>
    <row r="183" spans="1:1" x14ac:dyDescent="0.25">
      <c r="A183" t="s">
        <v>519</v>
      </c>
    </row>
    <row r="184" spans="1:1" x14ac:dyDescent="0.25">
      <c r="A184" t="s">
        <v>520</v>
      </c>
    </row>
    <row r="185" spans="1:1" x14ac:dyDescent="0.25">
      <c r="A185" t="s">
        <v>521</v>
      </c>
    </row>
    <row r="186" spans="1:1" x14ac:dyDescent="0.25">
      <c r="A186" t="s">
        <v>522</v>
      </c>
    </row>
    <row r="187" spans="1:1" x14ac:dyDescent="0.25">
      <c r="A187" t="s">
        <v>523</v>
      </c>
    </row>
    <row r="188" spans="1:1" x14ac:dyDescent="0.25">
      <c r="A188" t="s">
        <v>524</v>
      </c>
    </row>
    <row r="189" spans="1:1" x14ac:dyDescent="0.25">
      <c r="A189" t="s">
        <v>525</v>
      </c>
    </row>
    <row r="190" spans="1:1" x14ac:dyDescent="0.25">
      <c r="A190" t="s">
        <v>526</v>
      </c>
    </row>
    <row r="191" spans="1:1" x14ac:dyDescent="0.25">
      <c r="A191" t="s">
        <v>527</v>
      </c>
    </row>
    <row r="192" spans="1:1" x14ac:dyDescent="0.25">
      <c r="A192" t="s">
        <v>526</v>
      </c>
    </row>
    <row r="193" spans="1:1" x14ac:dyDescent="0.25">
      <c r="A193" t="s">
        <v>528</v>
      </c>
    </row>
    <row r="194" spans="1:1" x14ac:dyDescent="0.25">
      <c r="A194" t="s">
        <v>529</v>
      </c>
    </row>
    <row r="195" spans="1:1" x14ac:dyDescent="0.25">
      <c r="A195" t="s">
        <v>530</v>
      </c>
    </row>
    <row r="196" spans="1:1" x14ac:dyDescent="0.25">
      <c r="A196" t="s">
        <v>531</v>
      </c>
    </row>
    <row r="197" spans="1:1" x14ac:dyDescent="0.25">
      <c r="A197" t="s">
        <v>532</v>
      </c>
    </row>
    <row r="198" spans="1:1" x14ac:dyDescent="0.25">
      <c r="A198" t="s">
        <v>533</v>
      </c>
    </row>
    <row r="199" spans="1:1" x14ac:dyDescent="0.25">
      <c r="A199" t="s">
        <v>534</v>
      </c>
    </row>
    <row r="200" spans="1:1" x14ac:dyDescent="0.25">
      <c r="A200" t="s">
        <v>535</v>
      </c>
    </row>
    <row r="201" spans="1:1" x14ac:dyDescent="0.25">
      <c r="A201" t="s">
        <v>536</v>
      </c>
    </row>
    <row r="202" spans="1:1" x14ac:dyDescent="0.25">
      <c r="A202" t="s">
        <v>537</v>
      </c>
    </row>
    <row r="203" spans="1:1" x14ac:dyDescent="0.25">
      <c r="A203" t="s">
        <v>538</v>
      </c>
    </row>
    <row r="204" spans="1:1" x14ac:dyDescent="0.25">
      <c r="A204" t="s">
        <v>539</v>
      </c>
    </row>
    <row r="205" spans="1:1" x14ac:dyDescent="0.25">
      <c r="A205" t="s">
        <v>540</v>
      </c>
    </row>
    <row r="206" spans="1:1" x14ac:dyDescent="0.25">
      <c r="A206" t="s">
        <v>541</v>
      </c>
    </row>
    <row r="207" spans="1:1" x14ac:dyDescent="0.25">
      <c r="A207" t="s">
        <v>345</v>
      </c>
    </row>
    <row r="208" spans="1:1" x14ac:dyDescent="0.25">
      <c r="A208" t="s">
        <v>542</v>
      </c>
    </row>
    <row r="209" spans="1:1" x14ac:dyDescent="0.25">
      <c r="A209" t="s">
        <v>543</v>
      </c>
    </row>
    <row r="210" spans="1:1" x14ac:dyDescent="0.25">
      <c r="A210" t="s">
        <v>544</v>
      </c>
    </row>
    <row r="211" spans="1:1" x14ac:dyDescent="0.25">
      <c r="A211" t="s">
        <v>545</v>
      </c>
    </row>
    <row r="212" spans="1:1" x14ac:dyDescent="0.25">
      <c r="A212" t="s">
        <v>461</v>
      </c>
    </row>
    <row r="213" spans="1:1" x14ac:dyDescent="0.25">
      <c r="A213" t="s">
        <v>546</v>
      </c>
    </row>
    <row r="214" spans="1:1" x14ac:dyDescent="0.25">
      <c r="A214" t="s">
        <v>547</v>
      </c>
    </row>
    <row r="215" spans="1:1" x14ac:dyDescent="0.25">
      <c r="A215" t="s">
        <v>548</v>
      </c>
    </row>
    <row r="216" spans="1:1" x14ac:dyDescent="0.25">
      <c r="A216" t="s">
        <v>549</v>
      </c>
    </row>
    <row r="217" spans="1:1" x14ac:dyDescent="0.25">
      <c r="A217" t="s">
        <v>550</v>
      </c>
    </row>
    <row r="218" spans="1:1" x14ac:dyDescent="0.25">
      <c r="A218" t="s">
        <v>551</v>
      </c>
    </row>
    <row r="219" spans="1:1" x14ac:dyDescent="0.25">
      <c r="A219" t="s">
        <v>552</v>
      </c>
    </row>
    <row r="220" spans="1:1" x14ac:dyDescent="0.25">
      <c r="A220" t="s">
        <v>553</v>
      </c>
    </row>
    <row r="221" spans="1:1" x14ac:dyDescent="0.25">
      <c r="A221" t="s">
        <v>554</v>
      </c>
    </row>
    <row r="222" spans="1:1" x14ac:dyDescent="0.25">
      <c r="A222" t="s">
        <v>555</v>
      </c>
    </row>
    <row r="223" spans="1:1" x14ac:dyDescent="0.25">
      <c r="A223" t="s">
        <v>556</v>
      </c>
    </row>
    <row r="224" spans="1:1" x14ac:dyDescent="0.25">
      <c r="A224" t="s">
        <v>557</v>
      </c>
    </row>
    <row r="225" spans="1:1" x14ac:dyDescent="0.25">
      <c r="A225" t="s">
        <v>558</v>
      </c>
    </row>
    <row r="226" spans="1:1" x14ac:dyDescent="0.25">
      <c r="A226" t="s">
        <v>559</v>
      </c>
    </row>
    <row r="227" spans="1:1" x14ac:dyDescent="0.25">
      <c r="A227" t="s">
        <v>560</v>
      </c>
    </row>
    <row r="228" spans="1:1" x14ac:dyDescent="0.25">
      <c r="A228" t="s">
        <v>561</v>
      </c>
    </row>
    <row r="229" spans="1:1" x14ac:dyDescent="0.25">
      <c r="A229" t="s">
        <v>562</v>
      </c>
    </row>
    <row r="230" spans="1:1" x14ac:dyDescent="0.25">
      <c r="A230" t="s">
        <v>563</v>
      </c>
    </row>
    <row r="231" spans="1:1" x14ac:dyDescent="0.25">
      <c r="A231" t="s">
        <v>564</v>
      </c>
    </row>
    <row r="232" spans="1:1" x14ac:dyDescent="0.25">
      <c r="A232" t="s">
        <v>565</v>
      </c>
    </row>
    <row r="233" spans="1:1" x14ac:dyDescent="0.25">
      <c r="A233" t="s">
        <v>566</v>
      </c>
    </row>
    <row r="234" spans="1:1" x14ac:dyDescent="0.25">
      <c r="A234" t="s">
        <v>567</v>
      </c>
    </row>
    <row r="235" spans="1:1" x14ac:dyDescent="0.25">
      <c r="A235" t="s">
        <v>568</v>
      </c>
    </row>
    <row r="236" spans="1:1" x14ac:dyDescent="0.25">
      <c r="A236" t="s">
        <v>569</v>
      </c>
    </row>
    <row r="237" spans="1:1" x14ac:dyDescent="0.25">
      <c r="A237" t="s">
        <v>570</v>
      </c>
    </row>
    <row r="238" spans="1:1" x14ac:dyDescent="0.25">
      <c r="A238" t="s">
        <v>571</v>
      </c>
    </row>
    <row r="239" spans="1:1" x14ac:dyDescent="0.25">
      <c r="A239" t="s">
        <v>572</v>
      </c>
    </row>
    <row r="240" spans="1:1" x14ac:dyDescent="0.25">
      <c r="A240" t="s">
        <v>573</v>
      </c>
    </row>
    <row r="241" spans="1:1" x14ac:dyDescent="0.25">
      <c r="A241" t="s">
        <v>574</v>
      </c>
    </row>
    <row r="242" spans="1:1" x14ac:dyDescent="0.25">
      <c r="A242" t="s">
        <v>575</v>
      </c>
    </row>
    <row r="243" spans="1:1" x14ac:dyDescent="0.25">
      <c r="A243" t="s">
        <v>576</v>
      </c>
    </row>
    <row r="244" spans="1:1" x14ac:dyDescent="0.25">
      <c r="A244" t="s">
        <v>577</v>
      </c>
    </row>
    <row r="245" spans="1:1" x14ac:dyDescent="0.25">
      <c r="A245" t="s">
        <v>578</v>
      </c>
    </row>
    <row r="246" spans="1:1" x14ac:dyDescent="0.25">
      <c r="A246" t="s">
        <v>579</v>
      </c>
    </row>
    <row r="247" spans="1:1" x14ac:dyDescent="0.25">
      <c r="A247" t="s">
        <v>580</v>
      </c>
    </row>
    <row r="248" spans="1:1" x14ac:dyDescent="0.25">
      <c r="A248" t="s">
        <v>581</v>
      </c>
    </row>
    <row r="249" spans="1:1" x14ac:dyDescent="0.25">
      <c r="A249" t="s">
        <v>582</v>
      </c>
    </row>
    <row r="250" spans="1:1" x14ac:dyDescent="0.25">
      <c r="A250" t="s">
        <v>583</v>
      </c>
    </row>
    <row r="251" spans="1:1" x14ac:dyDescent="0.25">
      <c r="A251" t="s">
        <v>482</v>
      </c>
    </row>
    <row r="252" spans="1:1" x14ac:dyDescent="0.25">
      <c r="A252" t="s">
        <v>584</v>
      </c>
    </row>
    <row r="253" spans="1:1" x14ac:dyDescent="0.25">
      <c r="A253" t="s">
        <v>585</v>
      </c>
    </row>
    <row r="254" spans="1:1" x14ac:dyDescent="0.25">
      <c r="A254" t="s">
        <v>586</v>
      </c>
    </row>
    <row r="255" spans="1:1" x14ac:dyDescent="0.25">
      <c r="A255" t="s">
        <v>587</v>
      </c>
    </row>
    <row r="256" spans="1:1" x14ac:dyDescent="0.25">
      <c r="A256" t="s">
        <v>588</v>
      </c>
    </row>
    <row r="257" spans="1:1" x14ac:dyDescent="0.25">
      <c r="A257" t="s">
        <v>589</v>
      </c>
    </row>
    <row r="258" spans="1:1" x14ac:dyDescent="0.25">
      <c r="A258" t="s">
        <v>590</v>
      </c>
    </row>
    <row r="259" spans="1:1" x14ac:dyDescent="0.25">
      <c r="A259" t="s">
        <v>591</v>
      </c>
    </row>
    <row r="260" spans="1:1" x14ac:dyDescent="0.25">
      <c r="A260" t="s">
        <v>592</v>
      </c>
    </row>
    <row r="261" spans="1:1" x14ac:dyDescent="0.25">
      <c r="A261" t="s">
        <v>593</v>
      </c>
    </row>
    <row r="262" spans="1:1" x14ac:dyDescent="0.25">
      <c r="A262" t="s">
        <v>594</v>
      </c>
    </row>
    <row r="263" spans="1:1" x14ac:dyDescent="0.25">
      <c r="A263" t="s">
        <v>595</v>
      </c>
    </row>
    <row r="264" spans="1:1" x14ac:dyDescent="0.25">
      <c r="A264" t="s">
        <v>596</v>
      </c>
    </row>
    <row r="265" spans="1:1" x14ac:dyDescent="0.25">
      <c r="A265" t="s">
        <v>597</v>
      </c>
    </row>
    <row r="266" spans="1:1" x14ac:dyDescent="0.25">
      <c r="A266" t="s">
        <v>598</v>
      </c>
    </row>
    <row r="267" spans="1:1" x14ac:dyDescent="0.25">
      <c r="A267" t="s">
        <v>599</v>
      </c>
    </row>
    <row r="268" spans="1:1" x14ac:dyDescent="0.25">
      <c r="A268" t="s">
        <v>600</v>
      </c>
    </row>
    <row r="269" spans="1:1" x14ac:dyDescent="0.25">
      <c r="A269" t="s">
        <v>601</v>
      </c>
    </row>
    <row r="270" spans="1:1" x14ac:dyDescent="0.25">
      <c r="A270" t="s">
        <v>602</v>
      </c>
    </row>
    <row r="271" spans="1:1" x14ac:dyDescent="0.25">
      <c r="A271" t="s">
        <v>603</v>
      </c>
    </row>
    <row r="272" spans="1:1" x14ac:dyDescent="0.25">
      <c r="A272" t="s">
        <v>604</v>
      </c>
    </row>
    <row r="273" spans="1:1" x14ac:dyDescent="0.25">
      <c r="A273" t="s">
        <v>605</v>
      </c>
    </row>
    <row r="274" spans="1:1" x14ac:dyDescent="0.25">
      <c r="A274" t="s">
        <v>606</v>
      </c>
    </row>
    <row r="275" spans="1:1" x14ac:dyDescent="0.25">
      <c r="A275" t="s">
        <v>607</v>
      </c>
    </row>
    <row r="276" spans="1:1" x14ac:dyDescent="0.25">
      <c r="A276" t="s">
        <v>608</v>
      </c>
    </row>
    <row r="277" spans="1:1" x14ac:dyDescent="0.25">
      <c r="A277" t="s">
        <v>399</v>
      </c>
    </row>
    <row r="278" spans="1:1" x14ac:dyDescent="0.25">
      <c r="A278" t="s">
        <v>609</v>
      </c>
    </row>
    <row r="279" spans="1:1" x14ac:dyDescent="0.25">
      <c r="A279" t="s">
        <v>610</v>
      </c>
    </row>
    <row r="280" spans="1:1" x14ac:dyDescent="0.25">
      <c r="A280" t="s">
        <v>586</v>
      </c>
    </row>
    <row r="281" spans="1:1" x14ac:dyDescent="0.25">
      <c r="A281" t="s">
        <v>611</v>
      </c>
    </row>
    <row r="282" spans="1:1" x14ac:dyDescent="0.25">
      <c r="A282" t="s">
        <v>612</v>
      </c>
    </row>
    <row r="283" spans="1:1" x14ac:dyDescent="0.25">
      <c r="A283" t="s">
        <v>613</v>
      </c>
    </row>
    <row r="284" spans="1:1" x14ac:dyDescent="0.25">
      <c r="A284" t="s">
        <v>614</v>
      </c>
    </row>
    <row r="285" spans="1:1" x14ac:dyDescent="0.25">
      <c r="A285" t="s">
        <v>615</v>
      </c>
    </row>
    <row r="286" spans="1:1" x14ac:dyDescent="0.25">
      <c r="A286" t="s">
        <v>616</v>
      </c>
    </row>
    <row r="287" spans="1:1" x14ac:dyDescent="0.25">
      <c r="A287" t="s">
        <v>617</v>
      </c>
    </row>
    <row r="288" spans="1:1" x14ac:dyDescent="0.25">
      <c r="A288" t="s">
        <v>368</v>
      </c>
    </row>
    <row r="289" spans="1:1" x14ac:dyDescent="0.25">
      <c r="A289" t="s">
        <v>618</v>
      </c>
    </row>
    <row r="290" spans="1:1" x14ac:dyDescent="0.25">
      <c r="A290" t="s">
        <v>619</v>
      </c>
    </row>
    <row r="291" spans="1:1" x14ac:dyDescent="0.25">
      <c r="A291" t="s">
        <v>620</v>
      </c>
    </row>
    <row r="292" spans="1:1" x14ac:dyDescent="0.25">
      <c r="A292" t="s">
        <v>345</v>
      </c>
    </row>
    <row r="293" spans="1:1" x14ac:dyDescent="0.25">
      <c r="A293" t="s">
        <v>621</v>
      </c>
    </row>
    <row r="294" spans="1:1" x14ac:dyDescent="0.25">
      <c r="A294" t="s">
        <v>622</v>
      </c>
    </row>
    <row r="295" spans="1:1" x14ac:dyDescent="0.25">
      <c r="A295" t="s">
        <v>623</v>
      </c>
    </row>
    <row r="296" spans="1:1" x14ac:dyDescent="0.25">
      <c r="A296" t="s">
        <v>624</v>
      </c>
    </row>
    <row r="297" spans="1:1" x14ac:dyDescent="0.25">
      <c r="A297" t="s">
        <v>625</v>
      </c>
    </row>
    <row r="298" spans="1:1" x14ac:dyDescent="0.25">
      <c r="A298" t="s">
        <v>626</v>
      </c>
    </row>
    <row r="299" spans="1:1" x14ac:dyDescent="0.25">
      <c r="A299" t="s">
        <v>627</v>
      </c>
    </row>
    <row r="300" spans="1:1" x14ac:dyDescent="0.25">
      <c r="A300" t="s">
        <v>628</v>
      </c>
    </row>
    <row r="301" spans="1:1" x14ac:dyDescent="0.25">
      <c r="A301" t="s">
        <v>629</v>
      </c>
    </row>
    <row r="302" spans="1:1" x14ac:dyDescent="0.25">
      <c r="A302" t="s">
        <v>630</v>
      </c>
    </row>
    <row r="303" spans="1:1" x14ac:dyDescent="0.25">
      <c r="A303" t="s">
        <v>631</v>
      </c>
    </row>
    <row r="304" spans="1:1" x14ac:dyDescent="0.25">
      <c r="A304" t="s">
        <v>632</v>
      </c>
    </row>
    <row r="305" spans="1:1" x14ac:dyDescent="0.25">
      <c r="A305" t="s">
        <v>633</v>
      </c>
    </row>
    <row r="306" spans="1:1" x14ac:dyDescent="0.25">
      <c r="A306" t="s">
        <v>634</v>
      </c>
    </row>
    <row r="307" spans="1:1" x14ac:dyDescent="0.25">
      <c r="A307" t="s">
        <v>635</v>
      </c>
    </row>
    <row r="308" spans="1:1" x14ac:dyDescent="0.25">
      <c r="A308" t="s">
        <v>636</v>
      </c>
    </row>
    <row r="309" spans="1:1" x14ac:dyDescent="0.25">
      <c r="A309" t="s">
        <v>385</v>
      </c>
    </row>
    <row r="310" spans="1:1" x14ac:dyDescent="0.25">
      <c r="A310" t="s">
        <v>637</v>
      </c>
    </row>
    <row r="311" spans="1:1" x14ac:dyDescent="0.25">
      <c r="A311" t="s">
        <v>638</v>
      </c>
    </row>
    <row r="312" spans="1:1" x14ac:dyDescent="0.25">
      <c r="A312" t="s">
        <v>639</v>
      </c>
    </row>
    <row r="313" spans="1:1" x14ac:dyDescent="0.25">
      <c r="A313" t="s">
        <v>640</v>
      </c>
    </row>
    <row r="314" spans="1:1" x14ac:dyDescent="0.25">
      <c r="A314" t="s">
        <v>641</v>
      </c>
    </row>
    <row r="315" spans="1:1" x14ac:dyDescent="0.25">
      <c r="A315" t="s">
        <v>642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C4818-FD63-460F-8D1A-33B649BF8283}">
  <dimension ref="A1:S297"/>
  <sheetViews>
    <sheetView topLeftCell="A2" workbookViewId="0">
      <selection activeCell="E5" sqref="E5"/>
    </sheetView>
  </sheetViews>
  <sheetFormatPr defaultRowHeight="15" x14ac:dyDescent="0.25"/>
  <cols>
    <col min="1" max="1" width="15.42578125" bestFit="1" customWidth="1"/>
    <col min="2" max="2" width="13" bestFit="1" customWidth="1"/>
    <col min="3" max="3" width="9.42578125" bestFit="1" customWidth="1"/>
    <col min="4" max="4" width="14.5703125" bestFit="1" customWidth="1"/>
    <col min="5" max="5" width="15.140625" bestFit="1" customWidth="1"/>
    <col min="6" max="6" width="25.85546875" bestFit="1" customWidth="1"/>
    <col min="7" max="7" width="9" bestFit="1" customWidth="1"/>
    <col min="8" max="9" width="11" bestFit="1" customWidth="1"/>
    <col min="10" max="10" width="8.7109375" bestFit="1" customWidth="1"/>
    <col min="11" max="11" width="19.5703125" bestFit="1" customWidth="1"/>
    <col min="12" max="12" width="17" bestFit="1" customWidth="1"/>
  </cols>
  <sheetData>
    <row r="1" spans="1:12" x14ac:dyDescent="0.25">
      <c r="A1" t="s">
        <v>0</v>
      </c>
      <c r="B1" t="s">
        <v>1</v>
      </c>
      <c r="C1" t="s">
        <v>2</v>
      </c>
      <c r="D1" t="s">
        <v>3</v>
      </c>
      <c r="E1" t="s">
        <v>4</v>
      </c>
      <c r="F1" t="s">
        <v>5</v>
      </c>
      <c r="G1" t="s">
        <v>6</v>
      </c>
      <c r="H1" t="s">
        <v>7</v>
      </c>
      <c r="I1" t="s">
        <v>8</v>
      </c>
      <c r="J1" t="s">
        <v>9</v>
      </c>
      <c r="K1" t="s">
        <v>644</v>
      </c>
      <c r="L1" t="s">
        <v>652</v>
      </c>
    </row>
    <row r="2" spans="1:12" x14ac:dyDescent="0.25">
      <c r="A2" s="1" t="s">
        <v>10</v>
      </c>
      <c r="B2" s="2">
        <v>45993</v>
      </c>
      <c r="C2" s="1" t="s">
        <v>11</v>
      </c>
      <c r="D2" s="1" t="s">
        <v>26</v>
      </c>
      <c r="E2" s="1" t="s">
        <v>12</v>
      </c>
      <c r="F2" s="1" t="s">
        <v>13</v>
      </c>
      <c r="G2">
        <v>1298.71</v>
      </c>
      <c r="H2">
        <v>10</v>
      </c>
      <c r="I2">
        <v>0.15</v>
      </c>
      <c r="J2">
        <v>-99.29</v>
      </c>
      <c r="K2" t="str">
        <f>_xlfn.XLOOKUP(Order_ID_Order[[#This Row],[Region]],'Analysis Dashboard'!O$2:O$5,'Analysis Dashboard'!P$2:P$5)</f>
        <v>Rahul Verma</v>
      </c>
      <c r="L2" t="str">
        <f t="shared" ref="L2:L65" si="0">IF(I2&lt;=0.1,"0-10%",IF(I2&lt;=0.2,"11-20%",IF(I2&lt;=0.3,"21-30%","31-40%")))</f>
        <v>11-20%</v>
      </c>
    </row>
    <row r="3" spans="1:12" x14ac:dyDescent="0.25">
      <c r="A3" s="1" t="s">
        <v>14</v>
      </c>
      <c r="B3" s="2">
        <v>45312</v>
      </c>
      <c r="C3" s="1" t="s">
        <v>122</v>
      </c>
      <c r="D3" s="1" t="s">
        <v>22</v>
      </c>
      <c r="E3" s="1" t="s">
        <v>15</v>
      </c>
      <c r="F3" s="1" t="s">
        <v>16</v>
      </c>
      <c r="G3">
        <v>172.45</v>
      </c>
      <c r="H3">
        <v>4</v>
      </c>
      <c r="I3">
        <v>0.15</v>
      </c>
      <c r="J3">
        <v>9.58</v>
      </c>
      <c r="K3" t="str">
        <f>_xlfn.XLOOKUP(Order_ID_Order[[#This Row],[Region]],'Analysis Dashboard'!O$2:O$5,'Analysis Dashboard'!P$2:P$5)</f>
        <v>Ankit Gupta</v>
      </c>
      <c r="L3" t="str">
        <f t="shared" si="0"/>
        <v>11-20%</v>
      </c>
    </row>
    <row r="4" spans="1:12" x14ac:dyDescent="0.25">
      <c r="A4" s="1" t="s">
        <v>17</v>
      </c>
      <c r="B4" s="2">
        <v>45435</v>
      </c>
      <c r="C4" s="1" t="s">
        <v>122</v>
      </c>
      <c r="D4" s="1" t="s">
        <v>18</v>
      </c>
      <c r="E4" s="1" t="s">
        <v>19</v>
      </c>
      <c r="F4" s="1" t="s">
        <v>20</v>
      </c>
      <c r="G4">
        <v>739.33</v>
      </c>
      <c r="H4">
        <v>6</v>
      </c>
      <c r="I4">
        <v>0.3</v>
      </c>
      <c r="J4">
        <v>-9.5500000000000007</v>
      </c>
      <c r="K4" t="str">
        <f>_xlfn.XLOOKUP(Order_ID_Order[[#This Row],[Region]],'Analysis Dashboard'!O$2:O$5,'Analysis Dashboard'!P$2:P$5)</f>
        <v>Ankit Gupta</v>
      </c>
      <c r="L4" t="str">
        <f t="shared" si="0"/>
        <v>21-30%</v>
      </c>
    </row>
    <row r="5" spans="1:12" x14ac:dyDescent="0.25">
      <c r="A5" s="1" t="s">
        <v>21</v>
      </c>
      <c r="B5" s="2">
        <v>45442</v>
      </c>
      <c r="C5" s="1" t="s">
        <v>11</v>
      </c>
      <c r="D5" s="1" t="s">
        <v>22</v>
      </c>
      <c r="E5" s="1" t="s">
        <v>23</v>
      </c>
      <c r="F5" s="1" t="s">
        <v>24</v>
      </c>
      <c r="G5">
        <v>44.1</v>
      </c>
      <c r="H5">
        <v>4</v>
      </c>
      <c r="I5">
        <v>0.3</v>
      </c>
      <c r="J5">
        <v>-7.14</v>
      </c>
      <c r="K5" t="str">
        <f>_xlfn.XLOOKUP(Order_ID_Order[[#This Row],[Region]],'Analysis Dashboard'!O$2:O$5,'Analysis Dashboard'!P$2:P$5)</f>
        <v>Rahul Verma</v>
      </c>
      <c r="L5" t="str">
        <f t="shared" si="0"/>
        <v>21-30%</v>
      </c>
    </row>
    <row r="6" spans="1:12" x14ac:dyDescent="0.25">
      <c r="A6" s="1" t="s">
        <v>25</v>
      </c>
      <c r="B6" s="2">
        <v>45415</v>
      </c>
      <c r="C6" s="1" t="s">
        <v>62</v>
      </c>
      <c r="D6" s="1" t="s">
        <v>26</v>
      </c>
      <c r="E6" s="1" t="s">
        <v>27</v>
      </c>
      <c r="F6" s="1" t="s">
        <v>28</v>
      </c>
      <c r="G6">
        <v>1034.93</v>
      </c>
      <c r="H6">
        <v>6</v>
      </c>
      <c r="I6">
        <v>0.4</v>
      </c>
      <c r="J6">
        <v>-418.13</v>
      </c>
      <c r="K6" t="str">
        <f>_xlfn.XLOOKUP(Order_ID_Order[[#This Row],[Region]],'Analysis Dashboard'!O$2:O$5,'Analysis Dashboard'!P$2:P$5)</f>
        <v>Priya Sharma</v>
      </c>
      <c r="L6" t="str">
        <f t="shared" si="0"/>
        <v>31-40%</v>
      </c>
    </row>
    <row r="7" spans="1:12" x14ac:dyDescent="0.25">
      <c r="A7" s="1" t="s">
        <v>29</v>
      </c>
      <c r="B7" s="2">
        <v>45448</v>
      </c>
      <c r="C7" s="1" t="s">
        <v>11</v>
      </c>
      <c r="D7" s="1" t="s">
        <v>22</v>
      </c>
      <c r="E7" s="1" t="s">
        <v>15</v>
      </c>
      <c r="F7" s="1" t="s">
        <v>30</v>
      </c>
      <c r="G7">
        <v>153.5</v>
      </c>
      <c r="H7">
        <v>7</v>
      </c>
      <c r="I7">
        <v>0.2</v>
      </c>
      <c r="J7">
        <v>-1.67</v>
      </c>
      <c r="K7" t="str">
        <f>_xlfn.XLOOKUP(Order_ID_Order[[#This Row],[Region]],'Analysis Dashboard'!O$2:O$5,'Analysis Dashboard'!P$2:P$5)</f>
        <v>Rahul Verma</v>
      </c>
      <c r="L7" t="str">
        <f t="shared" si="0"/>
        <v>11-20%</v>
      </c>
    </row>
    <row r="8" spans="1:12" x14ac:dyDescent="0.25">
      <c r="A8" s="1" t="s">
        <v>31</v>
      </c>
      <c r="B8" s="2">
        <v>45522</v>
      </c>
      <c r="C8" s="1" t="s">
        <v>122</v>
      </c>
      <c r="D8" s="1" t="s">
        <v>18</v>
      </c>
      <c r="E8" s="1" t="s">
        <v>19</v>
      </c>
      <c r="F8" s="1" t="s">
        <v>32</v>
      </c>
      <c r="G8">
        <v>9796.31</v>
      </c>
      <c r="H8">
        <v>10</v>
      </c>
      <c r="I8">
        <v>0.05</v>
      </c>
      <c r="J8">
        <v>2958.9</v>
      </c>
      <c r="K8" t="str">
        <f>_xlfn.XLOOKUP(Order_ID_Order[[#This Row],[Region]],'Analysis Dashboard'!O$2:O$5,'Analysis Dashboard'!P$2:P$5)</f>
        <v>Ankit Gupta</v>
      </c>
      <c r="L8" t="str">
        <f t="shared" si="0"/>
        <v>0-10%</v>
      </c>
    </row>
    <row r="9" spans="1:12" x14ac:dyDescent="0.25">
      <c r="A9" s="1" t="s">
        <v>33</v>
      </c>
      <c r="B9" s="2">
        <v>45812</v>
      </c>
      <c r="C9" s="1" t="s">
        <v>34</v>
      </c>
      <c r="D9" s="1" t="s">
        <v>22</v>
      </c>
      <c r="E9" s="1" t="s">
        <v>35</v>
      </c>
      <c r="F9" s="1" t="s">
        <v>30</v>
      </c>
      <c r="G9">
        <v>115.42</v>
      </c>
      <c r="H9">
        <v>3</v>
      </c>
      <c r="I9">
        <v>0.05</v>
      </c>
      <c r="J9">
        <v>21.25</v>
      </c>
      <c r="K9" t="str">
        <f>_xlfn.XLOOKUP(Order_ID_Order[[#This Row],[Region]],'Analysis Dashboard'!O$2:O$5,'Analysis Dashboard'!P$2:P$5)</f>
        <v>Neha Singh</v>
      </c>
      <c r="L9" t="str">
        <f t="shared" si="0"/>
        <v>0-10%</v>
      </c>
    </row>
    <row r="10" spans="1:12" x14ac:dyDescent="0.25">
      <c r="A10" s="1" t="s">
        <v>36</v>
      </c>
      <c r="B10" s="2">
        <v>45756</v>
      </c>
      <c r="C10" s="1" t="s">
        <v>62</v>
      </c>
      <c r="D10" s="1" t="s">
        <v>18</v>
      </c>
      <c r="E10" s="1" t="s">
        <v>19</v>
      </c>
      <c r="F10" s="1" t="s">
        <v>37</v>
      </c>
      <c r="G10">
        <v>5316.3</v>
      </c>
      <c r="H10">
        <v>9</v>
      </c>
      <c r="I10">
        <v>0.05</v>
      </c>
      <c r="J10">
        <v>1731.74</v>
      </c>
      <c r="K10" t="str">
        <f>_xlfn.XLOOKUP(Order_ID_Order[[#This Row],[Region]],'Analysis Dashboard'!O$2:O$5,'Analysis Dashboard'!P$2:P$5)</f>
        <v>Priya Sharma</v>
      </c>
      <c r="L10" t="str">
        <f t="shared" si="0"/>
        <v>0-10%</v>
      </c>
    </row>
    <row r="11" spans="1:12" x14ac:dyDescent="0.25">
      <c r="A11" s="1" t="s">
        <v>38</v>
      </c>
      <c r="B11" s="2">
        <v>45413</v>
      </c>
      <c r="C11" s="1" t="s">
        <v>34</v>
      </c>
      <c r="D11" s="1" t="s">
        <v>22</v>
      </c>
      <c r="E11" s="1" t="s">
        <v>15</v>
      </c>
      <c r="F11" s="1" t="s">
        <v>39</v>
      </c>
      <c r="G11">
        <v>544.27</v>
      </c>
      <c r="H11">
        <v>6</v>
      </c>
      <c r="I11">
        <v>0.15</v>
      </c>
      <c r="J11">
        <v>18.399999999999999</v>
      </c>
      <c r="K11" t="str">
        <f>_xlfn.XLOOKUP(Order_ID_Order[[#This Row],[Region]],'Analysis Dashboard'!O$2:O$5,'Analysis Dashboard'!P$2:P$5)</f>
        <v>Neha Singh</v>
      </c>
      <c r="L11" t="str">
        <f t="shared" si="0"/>
        <v>11-20%</v>
      </c>
    </row>
    <row r="12" spans="1:12" x14ac:dyDescent="0.25">
      <c r="A12" s="1" t="s">
        <v>40</v>
      </c>
      <c r="B12" s="2">
        <v>45483</v>
      </c>
      <c r="C12" s="1" t="s">
        <v>11</v>
      </c>
      <c r="D12" s="1" t="s">
        <v>18</v>
      </c>
      <c r="E12" s="1" t="s">
        <v>19</v>
      </c>
      <c r="F12" s="1" t="s">
        <v>41</v>
      </c>
      <c r="G12">
        <v>1902.77</v>
      </c>
      <c r="H12">
        <v>2</v>
      </c>
      <c r="I12">
        <v>0.3</v>
      </c>
      <c r="J12">
        <v>-68.97</v>
      </c>
      <c r="K12" t="str">
        <f>_xlfn.XLOOKUP(Order_ID_Order[[#This Row],[Region]],'Analysis Dashboard'!O$2:O$5,'Analysis Dashboard'!P$2:P$5)</f>
        <v>Rahul Verma</v>
      </c>
      <c r="L12" t="str">
        <f t="shared" si="0"/>
        <v>21-30%</v>
      </c>
    </row>
    <row r="13" spans="1:12" x14ac:dyDescent="0.25">
      <c r="A13" s="1" t="s">
        <v>42</v>
      </c>
      <c r="B13" s="2">
        <v>45840</v>
      </c>
      <c r="C13" s="1" t="s">
        <v>11</v>
      </c>
      <c r="D13" s="1" t="s">
        <v>18</v>
      </c>
      <c r="E13" s="1" t="s">
        <v>43</v>
      </c>
      <c r="F13" s="1" t="s">
        <v>37</v>
      </c>
      <c r="G13">
        <v>118.88</v>
      </c>
      <c r="H13">
        <v>1</v>
      </c>
      <c r="I13">
        <v>0.4</v>
      </c>
      <c r="J13">
        <v>-17.440000000000001</v>
      </c>
      <c r="K13" t="str">
        <f>_xlfn.XLOOKUP(Order_ID_Order[[#This Row],[Region]],'Analysis Dashboard'!O$2:O$5,'Analysis Dashboard'!P$2:P$5)</f>
        <v>Rahul Verma</v>
      </c>
      <c r="L13" t="str">
        <f t="shared" si="0"/>
        <v>31-40%</v>
      </c>
    </row>
    <row r="14" spans="1:12" x14ac:dyDescent="0.25">
      <c r="A14" s="1" t="s">
        <v>44</v>
      </c>
      <c r="B14" s="2">
        <v>46017</v>
      </c>
      <c r="C14" s="1" t="s">
        <v>11</v>
      </c>
      <c r="D14" s="1" t="s">
        <v>18</v>
      </c>
      <c r="E14" s="1" t="s">
        <v>43</v>
      </c>
      <c r="F14" s="1" t="s">
        <v>20</v>
      </c>
      <c r="G14">
        <v>1232.04</v>
      </c>
      <c r="H14">
        <v>3</v>
      </c>
      <c r="I14">
        <v>0.2</v>
      </c>
      <c r="J14">
        <v>156.9</v>
      </c>
      <c r="K14" t="str">
        <f>_xlfn.XLOOKUP(Order_ID_Order[[#This Row],[Region]],'Analysis Dashboard'!O$2:O$5,'Analysis Dashboard'!P$2:P$5)</f>
        <v>Rahul Verma</v>
      </c>
      <c r="L14" t="str">
        <f t="shared" si="0"/>
        <v>11-20%</v>
      </c>
    </row>
    <row r="15" spans="1:12" x14ac:dyDescent="0.25">
      <c r="A15" s="1" t="s">
        <v>45</v>
      </c>
      <c r="B15" s="2">
        <v>45689</v>
      </c>
      <c r="C15" s="1" t="s">
        <v>11</v>
      </c>
      <c r="D15" s="1" t="s">
        <v>18</v>
      </c>
      <c r="E15" s="1" t="s">
        <v>19</v>
      </c>
      <c r="F15" s="1" t="s">
        <v>32</v>
      </c>
      <c r="G15">
        <v>2378.2800000000002</v>
      </c>
      <c r="H15">
        <v>5</v>
      </c>
      <c r="I15">
        <v>0.4</v>
      </c>
      <c r="J15">
        <v>-403.8</v>
      </c>
      <c r="K15" t="str">
        <f>_xlfn.XLOOKUP(Order_ID_Order[[#This Row],[Region]],'Analysis Dashboard'!O$2:O$5,'Analysis Dashboard'!P$2:P$5)</f>
        <v>Rahul Verma</v>
      </c>
      <c r="L15" t="str">
        <f t="shared" si="0"/>
        <v>31-40%</v>
      </c>
    </row>
    <row r="16" spans="1:12" x14ac:dyDescent="0.25">
      <c r="A16" s="1" t="s">
        <v>46</v>
      </c>
      <c r="B16" s="2">
        <v>45728</v>
      </c>
      <c r="C16" s="1" t="s">
        <v>62</v>
      </c>
      <c r="D16" s="1" t="s">
        <v>18</v>
      </c>
      <c r="E16" s="1" t="s">
        <v>43</v>
      </c>
      <c r="F16" s="1" t="s">
        <v>41</v>
      </c>
      <c r="G16">
        <v>5147.99</v>
      </c>
      <c r="H16">
        <v>9</v>
      </c>
      <c r="I16">
        <v>0.15</v>
      </c>
      <c r="J16">
        <v>942.99</v>
      </c>
      <c r="K16" t="str">
        <f>_xlfn.XLOOKUP(Order_ID_Order[[#This Row],[Region]],'Analysis Dashboard'!O$2:O$5,'Analysis Dashboard'!P$2:P$5)</f>
        <v>Priya Sharma</v>
      </c>
      <c r="L16" t="str">
        <f t="shared" si="0"/>
        <v>11-20%</v>
      </c>
    </row>
    <row r="17" spans="1:19" x14ac:dyDescent="0.25">
      <c r="A17" s="1" t="s">
        <v>47</v>
      </c>
      <c r="B17" s="2">
        <v>45305</v>
      </c>
      <c r="C17" s="1" t="s">
        <v>62</v>
      </c>
      <c r="D17" s="1" t="s">
        <v>22</v>
      </c>
      <c r="E17" s="1" t="s">
        <v>48</v>
      </c>
      <c r="F17" s="1" t="s">
        <v>49</v>
      </c>
      <c r="G17">
        <v>877.37</v>
      </c>
      <c r="H17">
        <v>10</v>
      </c>
      <c r="I17">
        <v>0.15</v>
      </c>
      <c r="J17">
        <v>52.45</v>
      </c>
      <c r="K17" t="str">
        <f>_xlfn.XLOOKUP(Order_ID_Order[[#This Row],[Region]],'Analysis Dashboard'!O$2:O$5,'Analysis Dashboard'!P$2:P$5)</f>
        <v>Priya Sharma</v>
      </c>
      <c r="L17" t="str">
        <f t="shared" si="0"/>
        <v>11-20%</v>
      </c>
    </row>
    <row r="18" spans="1:19" x14ac:dyDescent="0.25">
      <c r="A18" s="1" t="s">
        <v>50</v>
      </c>
      <c r="B18" s="2">
        <v>45681</v>
      </c>
      <c r="C18" s="1" t="s">
        <v>34</v>
      </c>
      <c r="D18" s="1" t="s">
        <v>22</v>
      </c>
      <c r="E18" s="1" t="s">
        <v>15</v>
      </c>
      <c r="F18" s="1" t="s">
        <v>30</v>
      </c>
      <c r="G18">
        <v>12.8</v>
      </c>
      <c r="H18">
        <v>1</v>
      </c>
      <c r="I18">
        <v>0.15</v>
      </c>
      <c r="J18">
        <v>0.54</v>
      </c>
      <c r="K18" t="str">
        <f>_xlfn.XLOOKUP(Order_ID_Order[[#This Row],[Region]],'Analysis Dashboard'!O$2:O$5,'Analysis Dashboard'!P$2:P$5)</f>
        <v>Neha Singh</v>
      </c>
      <c r="L18" t="str">
        <f t="shared" si="0"/>
        <v>11-20%</v>
      </c>
    </row>
    <row r="19" spans="1:19" x14ac:dyDescent="0.25">
      <c r="A19" s="1" t="s">
        <v>51</v>
      </c>
      <c r="B19" s="2">
        <v>45698</v>
      </c>
      <c r="C19" s="1" t="s">
        <v>122</v>
      </c>
      <c r="D19" s="1" t="s">
        <v>22</v>
      </c>
      <c r="E19" s="1" t="s">
        <v>15</v>
      </c>
      <c r="F19" s="1" t="s">
        <v>24</v>
      </c>
      <c r="G19">
        <v>414.61</v>
      </c>
      <c r="H19">
        <v>6</v>
      </c>
      <c r="I19">
        <v>0.1</v>
      </c>
      <c r="J19">
        <v>49.95</v>
      </c>
      <c r="K19" t="str">
        <f>_xlfn.XLOOKUP(Order_ID_Order[[#This Row],[Region]],'Analysis Dashboard'!O$2:O$5,'Analysis Dashboard'!P$2:P$5)</f>
        <v>Ankit Gupta</v>
      </c>
      <c r="L19" t="str">
        <f t="shared" si="0"/>
        <v>0-10%</v>
      </c>
    </row>
    <row r="20" spans="1:19" x14ac:dyDescent="0.25">
      <c r="A20" s="1" t="s">
        <v>52</v>
      </c>
      <c r="B20" s="2">
        <v>45706</v>
      </c>
      <c r="C20" s="1" t="s">
        <v>11</v>
      </c>
      <c r="D20" s="1" t="s">
        <v>26</v>
      </c>
      <c r="E20" s="1" t="s">
        <v>53</v>
      </c>
      <c r="F20" s="1" t="s">
        <v>54</v>
      </c>
      <c r="G20">
        <v>1815.8</v>
      </c>
      <c r="H20">
        <v>8</v>
      </c>
      <c r="I20">
        <v>0.15</v>
      </c>
      <c r="J20">
        <v>-131.9</v>
      </c>
      <c r="K20" t="str">
        <f>_xlfn.XLOOKUP(Order_ID_Order[[#This Row],[Region]],'Analysis Dashboard'!O$2:O$5,'Analysis Dashboard'!P$2:P$5)</f>
        <v>Rahul Verma</v>
      </c>
      <c r="L20" t="str">
        <f t="shared" si="0"/>
        <v>11-20%</v>
      </c>
    </row>
    <row r="21" spans="1:19" x14ac:dyDescent="0.25">
      <c r="A21" s="1" t="s">
        <v>55</v>
      </c>
      <c r="B21" s="2">
        <v>45511</v>
      </c>
      <c r="C21" s="1" t="s">
        <v>62</v>
      </c>
      <c r="D21" s="1" t="s">
        <v>18</v>
      </c>
      <c r="E21" s="1" t="s">
        <v>19</v>
      </c>
      <c r="F21" s="1" t="s">
        <v>56</v>
      </c>
      <c r="G21">
        <v>950.21</v>
      </c>
      <c r="H21">
        <v>2</v>
      </c>
      <c r="I21">
        <v>0.4</v>
      </c>
      <c r="J21">
        <v>-155.29</v>
      </c>
      <c r="K21" t="str">
        <f>_xlfn.XLOOKUP(Order_ID_Order[[#This Row],[Region]],'Analysis Dashboard'!O$2:O$5,'Analysis Dashboard'!P$2:P$5)</f>
        <v>Priya Sharma</v>
      </c>
      <c r="L21" t="str">
        <f t="shared" si="0"/>
        <v>31-40%</v>
      </c>
    </row>
    <row r="22" spans="1:19" x14ac:dyDescent="0.25">
      <c r="A22" s="1" t="s">
        <v>57</v>
      </c>
      <c r="B22" s="2">
        <v>45544</v>
      </c>
      <c r="C22" s="1" t="s">
        <v>62</v>
      </c>
      <c r="D22" s="1" t="s">
        <v>18</v>
      </c>
      <c r="E22" s="1" t="s">
        <v>19</v>
      </c>
      <c r="F22" s="1" t="s">
        <v>58</v>
      </c>
      <c r="G22">
        <v>5037.37</v>
      </c>
      <c r="H22">
        <v>6</v>
      </c>
      <c r="I22">
        <v>0.15</v>
      </c>
      <c r="J22">
        <v>970.77</v>
      </c>
      <c r="K22" t="str">
        <f>_xlfn.XLOOKUP(Order_ID_Order[[#This Row],[Region]],'Analysis Dashboard'!O$2:O$5,'Analysis Dashboard'!P$2:P$5)</f>
        <v>Priya Sharma</v>
      </c>
      <c r="L22" t="str">
        <f t="shared" si="0"/>
        <v>11-20%</v>
      </c>
      <c r="S22" t="str" cm="1">
        <f t="array" ref="S22">_xlfn.XLOOKUP(1,{1,2,3},{"A","B","C"})</f>
        <v>A</v>
      </c>
    </row>
    <row r="23" spans="1:19" x14ac:dyDescent="0.25">
      <c r="A23" s="1" t="s">
        <v>59</v>
      </c>
      <c r="B23" s="2">
        <v>45637</v>
      </c>
      <c r="C23" s="1" t="s">
        <v>11</v>
      </c>
      <c r="D23" s="1" t="s">
        <v>22</v>
      </c>
      <c r="E23" s="1" t="s">
        <v>23</v>
      </c>
      <c r="F23" s="1" t="s">
        <v>60</v>
      </c>
      <c r="G23">
        <v>264.06</v>
      </c>
      <c r="H23">
        <v>5</v>
      </c>
      <c r="I23">
        <v>0.4</v>
      </c>
      <c r="J23">
        <v>-72.55</v>
      </c>
      <c r="K23" t="str">
        <f>_xlfn.XLOOKUP(Order_ID_Order[[#This Row],[Region]],'Analysis Dashboard'!O$2:O$5,'Analysis Dashboard'!P$2:P$5)</f>
        <v>Rahul Verma</v>
      </c>
      <c r="L23" t="str">
        <f t="shared" si="0"/>
        <v>31-40%</v>
      </c>
    </row>
    <row r="24" spans="1:19" x14ac:dyDescent="0.25">
      <c r="A24" s="1" t="s">
        <v>61</v>
      </c>
      <c r="B24" s="2">
        <v>45796</v>
      </c>
      <c r="C24" s="1" t="s">
        <v>62</v>
      </c>
      <c r="D24" s="1" t="s">
        <v>22</v>
      </c>
      <c r="E24" s="1" t="s">
        <v>23</v>
      </c>
      <c r="F24" s="1" t="s">
        <v>16</v>
      </c>
      <c r="G24">
        <v>92.99</v>
      </c>
      <c r="H24">
        <v>1</v>
      </c>
      <c r="I24">
        <v>0</v>
      </c>
      <c r="J24">
        <v>22.4</v>
      </c>
      <c r="K24" t="str">
        <f>_xlfn.XLOOKUP(Order_ID_Order[[#This Row],[Region]],'Analysis Dashboard'!O$2:O$5,'Analysis Dashboard'!P$2:P$5)</f>
        <v>Priya Sharma</v>
      </c>
      <c r="L24" t="str">
        <f t="shared" si="0"/>
        <v>0-10%</v>
      </c>
    </row>
    <row r="25" spans="1:19" x14ac:dyDescent="0.25">
      <c r="A25" s="1" t="s">
        <v>63</v>
      </c>
      <c r="B25" s="2">
        <v>45489</v>
      </c>
      <c r="C25" s="1" t="s">
        <v>11</v>
      </c>
      <c r="D25" s="1" t="s">
        <v>22</v>
      </c>
      <c r="E25" s="1" t="s">
        <v>35</v>
      </c>
      <c r="F25" s="1" t="s">
        <v>64</v>
      </c>
      <c r="G25">
        <v>77.64</v>
      </c>
      <c r="H25">
        <v>4</v>
      </c>
      <c r="I25">
        <v>0</v>
      </c>
      <c r="J25">
        <v>19.27</v>
      </c>
      <c r="K25" t="str">
        <f>_xlfn.XLOOKUP(Order_ID_Order[[#This Row],[Region]],'Analysis Dashboard'!O$2:O$5,'Analysis Dashboard'!P$2:P$5)</f>
        <v>Rahul Verma</v>
      </c>
      <c r="L25" t="str">
        <f t="shared" si="0"/>
        <v>0-10%</v>
      </c>
    </row>
    <row r="26" spans="1:19" x14ac:dyDescent="0.25">
      <c r="A26" s="1" t="s">
        <v>65</v>
      </c>
      <c r="B26" s="2">
        <v>45719</v>
      </c>
      <c r="C26" s="1" t="s">
        <v>11</v>
      </c>
      <c r="D26" s="1" t="s">
        <v>26</v>
      </c>
      <c r="E26" s="1" t="s">
        <v>66</v>
      </c>
      <c r="F26" s="1" t="s">
        <v>13</v>
      </c>
      <c r="G26">
        <v>3619.51</v>
      </c>
      <c r="H26">
        <v>9</v>
      </c>
      <c r="I26">
        <v>0.2</v>
      </c>
      <c r="J26">
        <v>-482.81</v>
      </c>
      <c r="K26" t="str">
        <f>_xlfn.XLOOKUP(Order_ID_Order[[#This Row],[Region]],'Analysis Dashboard'!O$2:O$5,'Analysis Dashboard'!P$2:P$5)</f>
        <v>Rahul Verma</v>
      </c>
      <c r="L26" t="str">
        <f t="shared" si="0"/>
        <v>11-20%</v>
      </c>
    </row>
    <row r="27" spans="1:19" x14ac:dyDescent="0.25">
      <c r="A27" s="1" t="s">
        <v>67</v>
      </c>
      <c r="B27" s="2">
        <v>45565</v>
      </c>
      <c r="C27" s="1" t="s">
        <v>62</v>
      </c>
      <c r="D27" s="1" t="s">
        <v>18</v>
      </c>
      <c r="E27" s="1" t="s">
        <v>19</v>
      </c>
      <c r="F27" s="1" t="s">
        <v>37</v>
      </c>
      <c r="G27">
        <v>991.59</v>
      </c>
      <c r="H27">
        <v>3</v>
      </c>
      <c r="I27">
        <v>0.15</v>
      </c>
      <c r="J27">
        <v>156.74</v>
      </c>
      <c r="K27" t="str">
        <f>_xlfn.XLOOKUP(Order_ID_Order[[#This Row],[Region]],'Analysis Dashboard'!O$2:O$5,'Analysis Dashboard'!P$2:P$5)</f>
        <v>Priya Sharma</v>
      </c>
      <c r="L27" t="str">
        <f t="shared" si="0"/>
        <v>11-20%</v>
      </c>
    </row>
    <row r="28" spans="1:19" x14ac:dyDescent="0.25">
      <c r="A28" s="1" t="s">
        <v>68</v>
      </c>
      <c r="B28" s="2">
        <v>45508</v>
      </c>
      <c r="C28" s="1" t="s">
        <v>122</v>
      </c>
      <c r="D28" s="1" t="s">
        <v>26</v>
      </c>
      <c r="E28" s="1" t="s">
        <v>66</v>
      </c>
      <c r="F28" s="1" t="s">
        <v>54</v>
      </c>
      <c r="G28">
        <v>899.36</v>
      </c>
      <c r="H28">
        <v>4</v>
      </c>
      <c r="I28">
        <v>0</v>
      </c>
      <c r="J28">
        <v>105.88</v>
      </c>
      <c r="K28" t="str">
        <f>_xlfn.XLOOKUP(Order_ID_Order[[#This Row],[Region]],'Analysis Dashboard'!O$2:O$5,'Analysis Dashboard'!P$2:P$5)</f>
        <v>Ankit Gupta</v>
      </c>
      <c r="L28" t="str">
        <f t="shared" si="0"/>
        <v>0-10%</v>
      </c>
    </row>
    <row r="29" spans="1:19" x14ac:dyDescent="0.25">
      <c r="A29" s="1" t="s">
        <v>69</v>
      </c>
      <c r="B29" s="2">
        <v>45966</v>
      </c>
      <c r="C29" s="1" t="s">
        <v>11</v>
      </c>
      <c r="D29" s="1" t="s">
        <v>26</v>
      </c>
      <c r="E29" s="1" t="s">
        <v>12</v>
      </c>
      <c r="F29" s="1" t="s">
        <v>28</v>
      </c>
      <c r="G29">
        <v>4346.8599999999997</v>
      </c>
      <c r="H29">
        <v>8</v>
      </c>
      <c r="I29">
        <v>0.1</v>
      </c>
      <c r="J29">
        <v>21.1</v>
      </c>
      <c r="K29" t="str">
        <f>_xlfn.XLOOKUP(Order_ID_Order[[#This Row],[Region]],'Analysis Dashboard'!O$2:O$5,'Analysis Dashboard'!P$2:P$5)</f>
        <v>Rahul Verma</v>
      </c>
      <c r="L29" t="str">
        <f t="shared" si="0"/>
        <v>0-10%</v>
      </c>
    </row>
    <row r="30" spans="1:19" x14ac:dyDescent="0.25">
      <c r="A30" s="1" t="s">
        <v>70</v>
      </c>
      <c r="B30" s="2">
        <v>45919</v>
      </c>
      <c r="C30" s="1" t="s">
        <v>122</v>
      </c>
      <c r="D30" s="1" t="s">
        <v>22</v>
      </c>
      <c r="E30" s="1" t="s">
        <v>23</v>
      </c>
      <c r="F30" s="1" t="s">
        <v>71</v>
      </c>
      <c r="G30">
        <v>481.68</v>
      </c>
      <c r="H30">
        <v>10</v>
      </c>
      <c r="I30">
        <v>0.4</v>
      </c>
      <c r="J30">
        <v>-148.11000000000001</v>
      </c>
      <c r="K30" t="str">
        <f>_xlfn.XLOOKUP(Order_ID_Order[[#This Row],[Region]],'Analysis Dashboard'!O$2:O$5,'Analysis Dashboard'!P$2:P$5)</f>
        <v>Ankit Gupta</v>
      </c>
      <c r="L30" t="str">
        <f t="shared" si="0"/>
        <v>31-40%</v>
      </c>
    </row>
    <row r="31" spans="1:19" x14ac:dyDescent="0.25">
      <c r="A31" s="1" t="s">
        <v>72</v>
      </c>
      <c r="B31" s="2">
        <v>45554</v>
      </c>
      <c r="C31" s="1" t="s">
        <v>62</v>
      </c>
      <c r="D31" s="1" t="s">
        <v>18</v>
      </c>
      <c r="E31" s="1" t="s">
        <v>19</v>
      </c>
      <c r="F31" s="1" t="s">
        <v>37</v>
      </c>
      <c r="G31">
        <v>3049.78</v>
      </c>
      <c r="H31">
        <v>6</v>
      </c>
      <c r="I31">
        <v>0.4</v>
      </c>
      <c r="J31">
        <v>-481.44</v>
      </c>
      <c r="K31" t="str">
        <f>_xlfn.XLOOKUP(Order_ID_Order[[#This Row],[Region]],'Analysis Dashboard'!O$2:O$5,'Analysis Dashboard'!P$2:P$5)</f>
        <v>Priya Sharma</v>
      </c>
      <c r="L31" t="str">
        <f t="shared" si="0"/>
        <v>31-40%</v>
      </c>
    </row>
    <row r="32" spans="1:19" x14ac:dyDescent="0.25">
      <c r="A32" s="1" t="s">
        <v>73</v>
      </c>
      <c r="B32" s="2">
        <v>45296</v>
      </c>
      <c r="C32" s="1" t="s">
        <v>11</v>
      </c>
      <c r="D32" s="1" t="s">
        <v>22</v>
      </c>
      <c r="E32" s="1" t="s">
        <v>35</v>
      </c>
      <c r="F32" s="1" t="s">
        <v>60</v>
      </c>
      <c r="G32">
        <v>117.61</v>
      </c>
      <c r="H32">
        <v>1</v>
      </c>
      <c r="I32">
        <v>0.05</v>
      </c>
      <c r="J32">
        <v>22.4</v>
      </c>
      <c r="K32" t="str">
        <f>_xlfn.XLOOKUP(Order_ID_Order[[#This Row],[Region]],'Analysis Dashboard'!O$2:O$5,'Analysis Dashboard'!P$2:P$5)</f>
        <v>Rahul Verma</v>
      </c>
      <c r="L32" t="str">
        <f t="shared" si="0"/>
        <v>0-10%</v>
      </c>
    </row>
    <row r="33" spans="1:12" x14ac:dyDescent="0.25">
      <c r="A33" s="1" t="s">
        <v>74</v>
      </c>
      <c r="B33" s="2">
        <v>45498</v>
      </c>
      <c r="C33" s="1" t="s">
        <v>11</v>
      </c>
      <c r="D33" s="1" t="s">
        <v>22</v>
      </c>
      <c r="E33" s="1" t="s">
        <v>23</v>
      </c>
      <c r="F33" s="1" t="s">
        <v>39</v>
      </c>
      <c r="G33">
        <v>208.62</v>
      </c>
      <c r="H33">
        <v>6</v>
      </c>
      <c r="I33">
        <v>0.5</v>
      </c>
      <c r="J33">
        <v>-88.95</v>
      </c>
      <c r="K33" t="str">
        <f>_xlfn.XLOOKUP(Order_ID_Order[[#This Row],[Region]],'Analysis Dashboard'!O$2:O$5,'Analysis Dashboard'!P$2:P$5)</f>
        <v>Rahul Verma</v>
      </c>
      <c r="L33" t="str">
        <f t="shared" si="0"/>
        <v>31-40%</v>
      </c>
    </row>
    <row r="34" spans="1:12" x14ac:dyDescent="0.25">
      <c r="A34" s="1" t="s">
        <v>75</v>
      </c>
      <c r="B34" s="2">
        <v>45522</v>
      </c>
      <c r="C34" s="1" t="s">
        <v>11</v>
      </c>
      <c r="D34" s="1" t="s">
        <v>22</v>
      </c>
      <c r="E34" s="1" t="s">
        <v>76</v>
      </c>
      <c r="F34" s="1" t="s">
        <v>39</v>
      </c>
      <c r="G34">
        <v>216.12</v>
      </c>
      <c r="H34">
        <v>4</v>
      </c>
      <c r="I34">
        <v>0.4</v>
      </c>
      <c r="J34">
        <v>-60.95</v>
      </c>
      <c r="K34" t="str">
        <f>_xlfn.XLOOKUP(Order_ID_Order[[#This Row],[Region]],'Analysis Dashboard'!O$2:O$5,'Analysis Dashboard'!P$2:P$5)</f>
        <v>Rahul Verma</v>
      </c>
      <c r="L34" t="str">
        <f t="shared" si="0"/>
        <v>31-40%</v>
      </c>
    </row>
    <row r="35" spans="1:12" x14ac:dyDescent="0.25">
      <c r="A35" s="1" t="s">
        <v>77</v>
      </c>
      <c r="B35" s="2">
        <v>45535</v>
      </c>
      <c r="C35" s="1" t="s">
        <v>11</v>
      </c>
      <c r="D35" s="1" t="s">
        <v>22</v>
      </c>
      <c r="E35" s="1" t="s">
        <v>76</v>
      </c>
      <c r="F35" s="1" t="s">
        <v>71</v>
      </c>
      <c r="G35">
        <v>1071.3399999999999</v>
      </c>
      <c r="H35">
        <v>10</v>
      </c>
      <c r="I35">
        <v>0.15</v>
      </c>
      <c r="J35">
        <v>43.27</v>
      </c>
      <c r="K35" t="str">
        <f>_xlfn.XLOOKUP(Order_ID_Order[[#This Row],[Region]],'Analysis Dashboard'!O$2:O$5,'Analysis Dashboard'!P$2:P$5)</f>
        <v>Rahul Verma</v>
      </c>
      <c r="L35" t="str">
        <f t="shared" si="0"/>
        <v>11-20%</v>
      </c>
    </row>
    <row r="36" spans="1:12" x14ac:dyDescent="0.25">
      <c r="A36" s="1" t="s">
        <v>78</v>
      </c>
      <c r="B36" s="2">
        <v>45411</v>
      </c>
      <c r="C36" s="1" t="s">
        <v>11</v>
      </c>
      <c r="D36" s="1" t="s">
        <v>22</v>
      </c>
      <c r="E36" s="1" t="s">
        <v>35</v>
      </c>
      <c r="F36" s="1" t="s">
        <v>39</v>
      </c>
      <c r="G36">
        <v>45.14</v>
      </c>
      <c r="H36">
        <v>4</v>
      </c>
      <c r="I36">
        <v>0.5</v>
      </c>
      <c r="J36">
        <v>-19.61</v>
      </c>
      <c r="K36" t="str">
        <f>_xlfn.XLOOKUP(Order_ID_Order[[#This Row],[Region]],'Analysis Dashboard'!O$2:O$5,'Analysis Dashboard'!P$2:P$5)</f>
        <v>Rahul Verma</v>
      </c>
      <c r="L36" t="str">
        <f t="shared" si="0"/>
        <v>31-40%</v>
      </c>
    </row>
    <row r="37" spans="1:12" x14ac:dyDescent="0.25">
      <c r="A37" s="1" t="s">
        <v>79</v>
      </c>
      <c r="B37" s="2">
        <v>45332</v>
      </c>
      <c r="C37" s="1" t="s">
        <v>62</v>
      </c>
      <c r="D37" s="1" t="s">
        <v>18</v>
      </c>
      <c r="E37" s="1" t="s">
        <v>43</v>
      </c>
      <c r="F37" s="1" t="s">
        <v>37</v>
      </c>
      <c r="G37">
        <v>1169.6300000000001</v>
      </c>
      <c r="H37">
        <v>1</v>
      </c>
      <c r="I37">
        <v>0</v>
      </c>
      <c r="J37">
        <v>452.96</v>
      </c>
      <c r="K37" t="str">
        <f>_xlfn.XLOOKUP(Order_ID_Order[[#This Row],[Region]],'Analysis Dashboard'!O$2:O$5,'Analysis Dashboard'!P$2:P$5)</f>
        <v>Priya Sharma</v>
      </c>
      <c r="L37" t="str">
        <f t="shared" si="0"/>
        <v>0-10%</v>
      </c>
    </row>
    <row r="38" spans="1:12" x14ac:dyDescent="0.25">
      <c r="A38" s="1" t="s">
        <v>80</v>
      </c>
      <c r="B38" s="2">
        <v>45776</v>
      </c>
      <c r="C38" s="1" t="s">
        <v>34</v>
      </c>
      <c r="D38" s="1" t="s">
        <v>18</v>
      </c>
      <c r="E38" s="1" t="s">
        <v>81</v>
      </c>
      <c r="F38" s="1" t="s">
        <v>82</v>
      </c>
      <c r="G38">
        <v>3439.78</v>
      </c>
      <c r="H38">
        <v>6</v>
      </c>
      <c r="I38">
        <v>0.05</v>
      </c>
      <c r="J38">
        <v>1082.69</v>
      </c>
      <c r="K38" t="str">
        <f>_xlfn.XLOOKUP(Order_ID_Order[[#This Row],[Region]],'Analysis Dashboard'!O$2:O$5,'Analysis Dashboard'!P$2:P$5)</f>
        <v>Neha Singh</v>
      </c>
      <c r="L38" t="str">
        <f t="shared" si="0"/>
        <v>0-10%</v>
      </c>
    </row>
    <row r="39" spans="1:12" x14ac:dyDescent="0.25">
      <c r="A39" s="1" t="s">
        <v>83</v>
      </c>
      <c r="B39" s="2">
        <v>45587</v>
      </c>
      <c r="C39" s="1" t="s">
        <v>62</v>
      </c>
      <c r="D39" s="1" t="s">
        <v>18</v>
      </c>
      <c r="E39" s="1" t="s">
        <v>19</v>
      </c>
      <c r="F39" s="1" t="s">
        <v>82</v>
      </c>
      <c r="G39">
        <v>4636.67</v>
      </c>
      <c r="H39">
        <v>7</v>
      </c>
      <c r="I39">
        <v>0.1</v>
      </c>
      <c r="J39">
        <v>1187.1199999999999</v>
      </c>
      <c r="K39" t="str">
        <f>_xlfn.XLOOKUP(Order_ID_Order[[#This Row],[Region]],'Analysis Dashboard'!O$2:O$5,'Analysis Dashboard'!P$2:P$5)</f>
        <v>Priya Sharma</v>
      </c>
      <c r="L39" t="str">
        <f t="shared" si="0"/>
        <v>0-10%</v>
      </c>
    </row>
    <row r="40" spans="1:12" x14ac:dyDescent="0.25">
      <c r="A40" s="1" t="s">
        <v>84</v>
      </c>
      <c r="B40" s="2">
        <v>45404</v>
      </c>
      <c r="C40" s="1" t="s">
        <v>11</v>
      </c>
      <c r="D40" s="1" t="s">
        <v>26</v>
      </c>
      <c r="E40" s="1" t="s">
        <v>12</v>
      </c>
      <c r="F40" s="1" t="s">
        <v>85</v>
      </c>
      <c r="G40">
        <v>1862.5</v>
      </c>
      <c r="H40">
        <v>10</v>
      </c>
      <c r="I40">
        <v>0.5</v>
      </c>
      <c r="J40">
        <v>-1047.3699999999999</v>
      </c>
      <c r="K40" t="str">
        <f>_xlfn.XLOOKUP(Order_ID_Order[[#This Row],[Region]],'Analysis Dashboard'!O$2:O$5,'Analysis Dashboard'!P$2:P$5)</f>
        <v>Rahul Verma</v>
      </c>
      <c r="L40" t="str">
        <f t="shared" si="0"/>
        <v>31-40%</v>
      </c>
    </row>
    <row r="41" spans="1:12" x14ac:dyDescent="0.25">
      <c r="A41" s="1" t="s">
        <v>86</v>
      </c>
      <c r="B41" s="2">
        <v>45354</v>
      </c>
      <c r="C41" s="1" t="s">
        <v>11</v>
      </c>
      <c r="D41" s="1" t="s">
        <v>22</v>
      </c>
      <c r="E41" s="1" t="s">
        <v>76</v>
      </c>
      <c r="F41" s="1" t="s">
        <v>16</v>
      </c>
      <c r="G41">
        <v>342.65</v>
      </c>
      <c r="H41">
        <v>10</v>
      </c>
      <c r="I41">
        <v>0.3</v>
      </c>
      <c r="J41">
        <v>-46.75</v>
      </c>
      <c r="K41" t="str">
        <f>_xlfn.XLOOKUP(Order_ID_Order[[#This Row],[Region]],'Analysis Dashboard'!O$2:O$5,'Analysis Dashboard'!P$2:P$5)</f>
        <v>Rahul Verma</v>
      </c>
      <c r="L41" t="str">
        <f t="shared" si="0"/>
        <v>21-30%</v>
      </c>
    </row>
    <row r="42" spans="1:12" x14ac:dyDescent="0.25">
      <c r="A42" s="1" t="s">
        <v>87</v>
      </c>
      <c r="B42" s="2">
        <v>45747</v>
      </c>
      <c r="C42" s="1" t="s">
        <v>62</v>
      </c>
      <c r="D42" s="1" t="s">
        <v>26</v>
      </c>
      <c r="E42" s="1" t="s">
        <v>27</v>
      </c>
      <c r="F42" s="1" t="s">
        <v>88</v>
      </c>
      <c r="G42">
        <v>995.97</v>
      </c>
      <c r="H42">
        <v>4</v>
      </c>
      <c r="I42">
        <v>0.2</v>
      </c>
      <c r="J42">
        <v>-165.36</v>
      </c>
      <c r="K42" t="str">
        <f>_xlfn.XLOOKUP(Order_ID_Order[[#This Row],[Region]],'Analysis Dashboard'!O$2:O$5,'Analysis Dashboard'!P$2:P$5)</f>
        <v>Priya Sharma</v>
      </c>
      <c r="L42" t="str">
        <f t="shared" si="0"/>
        <v>11-20%</v>
      </c>
    </row>
    <row r="43" spans="1:12" x14ac:dyDescent="0.25">
      <c r="A43" s="1" t="s">
        <v>89</v>
      </c>
      <c r="B43" s="2">
        <v>45901</v>
      </c>
      <c r="C43" s="1" t="s">
        <v>11</v>
      </c>
      <c r="D43" s="1" t="s">
        <v>22</v>
      </c>
      <c r="E43" s="1" t="s">
        <v>35</v>
      </c>
      <c r="F43" s="1" t="s">
        <v>16</v>
      </c>
      <c r="G43">
        <v>79.52</v>
      </c>
      <c r="H43">
        <v>1</v>
      </c>
      <c r="I43">
        <v>0.4</v>
      </c>
      <c r="J43">
        <v>-21.87</v>
      </c>
      <c r="K43" t="str">
        <f>_xlfn.XLOOKUP(Order_ID_Order[[#This Row],[Region]],'Analysis Dashboard'!O$2:O$5,'Analysis Dashboard'!P$2:P$5)</f>
        <v>Rahul Verma</v>
      </c>
      <c r="L43" t="str">
        <f t="shared" si="0"/>
        <v>31-40%</v>
      </c>
    </row>
    <row r="44" spans="1:12" x14ac:dyDescent="0.25">
      <c r="A44" s="1" t="s">
        <v>90</v>
      </c>
      <c r="B44" s="2">
        <v>46019</v>
      </c>
      <c r="C44" s="1" t="s">
        <v>34</v>
      </c>
      <c r="D44" s="1" t="s">
        <v>26</v>
      </c>
      <c r="E44" s="1" t="s">
        <v>53</v>
      </c>
      <c r="F44" s="1" t="s">
        <v>88</v>
      </c>
      <c r="G44">
        <v>322.18</v>
      </c>
      <c r="H44">
        <v>7</v>
      </c>
      <c r="I44">
        <v>0.5</v>
      </c>
      <c r="J44">
        <v>-179.36</v>
      </c>
      <c r="K44" t="str">
        <f>_xlfn.XLOOKUP(Order_ID_Order[[#This Row],[Region]],'Analysis Dashboard'!O$2:O$5,'Analysis Dashboard'!P$2:P$5)</f>
        <v>Neha Singh</v>
      </c>
      <c r="L44" t="str">
        <f t="shared" si="0"/>
        <v>31-40%</v>
      </c>
    </row>
    <row r="45" spans="1:12" x14ac:dyDescent="0.25">
      <c r="A45" s="1" t="s">
        <v>91</v>
      </c>
      <c r="B45" s="2">
        <v>45776</v>
      </c>
      <c r="C45" s="1" t="s">
        <v>11</v>
      </c>
      <c r="D45" s="1" t="s">
        <v>22</v>
      </c>
      <c r="E45" s="1" t="s">
        <v>15</v>
      </c>
      <c r="F45" s="1" t="s">
        <v>49</v>
      </c>
      <c r="G45">
        <v>1148.96</v>
      </c>
      <c r="H45">
        <v>8</v>
      </c>
      <c r="I45">
        <v>0</v>
      </c>
      <c r="J45">
        <v>268.45</v>
      </c>
      <c r="K45" t="str">
        <f>_xlfn.XLOOKUP(Order_ID_Order[[#This Row],[Region]],'Analysis Dashboard'!O$2:O$5,'Analysis Dashboard'!P$2:P$5)</f>
        <v>Rahul Verma</v>
      </c>
      <c r="L45" t="str">
        <f t="shared" si="0"/>
        <v>0-10%</v>
      </c>
    </row>
    <row r="46" spans="1:12" x14ac:dyDescent="0.25">
      <c r="A46" s="1" t="s">
        <v>92</v>
      </c>
      <c r="B46" s="2">
        <v>45855</v>
      </c>
      <c r="C46" s="1" t="s">
        <v>11</v>
      </c>
      <c r="D46" s="1" t="s">
        <v>22</v>
      </c>
      <c r="E46" s="1" t="s">
        <v>48</v>
      </c>
      <c r="F46" s="1" t="s">
        <v>64</v>
      </c>
      <c r="G46">
        <v>160.38</v>
      </c>
      <c r="H46">
        <v>6</v>
      </c>
      <c r="I46">
        <v>0</v>
      </c>
      <c r="J46">
        <v>40.119999999999997</v>
      </c>
      <c r="K46" t="str">
        <f>_xlfn.XLOOKUP(Order_ID_Order[[#This Row],[Region]],'Analysis Dashboard'!O$2:O$5,'Analysis Dashboard'!P$2:P$5)</f>
        <v>Rahul Verma</v>
      </c>
      <c r="L46" t="str">
        <f t="shared" si="0"/>
        <v>0-10%</v>
      </c>
    </row>
    <row r="47" spans="1:12" x14ac:dyDescent="0.25">
      <c r="A47" s="1" t="s">
        <v>93</v>
      </c>
      <c r="B47" s="2">
        <v>45306</v>
      </c>
      <c r="C47" s="1" t="s">
        <v>11</v>
      </c>
      <c r="D47" s="1" t="s">
        <v>22</v>
      </c>
      <c r="E47" s="1" t="s">
        <v>35</v>
      </c>
      <c r="F47" s="1" t="s">
        <v>49</v>
      </c>
      <c r="G47">
        <v>183.78</v>
      </c>
      <c r="H47">
        <v>2</v>
      </c>
      <c r="I47">
        <v>0</v>
      </c>
      <c r="J47">
        <v>47.13</v>
      </c>
      <c r="K47" t="str">
        <f>_xlfn.XLOOKUP(Order_ID_Order[[#This Row],[Region]],'Analysis Dashboard'!O$2:O$5,'Analysis Dashboard'!P$2:P$5)</f>
        <v>Rahul Verma</v>
      </c>
      <c r="L47" t="str">
        <f t="shared" si="0"/>
        <v>0-10%</v>
      </c>
    </row>
    <row r="48" spans="1:12" x14ac:dyDescent="0.25">
      <c r="A48" s="1" t="s">
        <v>94</v>
      </c>
      <c r="B48" s="2">
        <v>45991</v>
      </c>
      <c r="C48" s="1" t="s">
        <v>11</v>
      </c>
      <c r="D48" s="1" t="s">
        <v>18</v>
      </c>
      <c r="E48" s="1" t="s">
        <v>95</v>
      </c>
      <c r="F48" s="1" t="s">
        <v>96</v>
      </c>
      <c r="G48">
        <v>5039.2</v>
      </c>
      <c r="H48">
        <v>10</v>
      </c>
      <c r="I48">
        <v>0.5</v>
      </c>
      <c r="J48">
        <v>-1568.52</v>
      </c>
      <c r="K48" t="str">
        <f>_xlfn.XLOOKUP(Order_ID_Order[[#This Row],[Region]],'Analysis Dashboard'!O$2:O$5,'Analysis Dashboard'!P$2:P$5)</f>
        <v>Rahul Verma</v>
      </c>
      <c r="L48" t="str">
        <f t="shared" si="0"/>
        <v>31-40%</v>
      </c>
    </row>
    <row r="49" spans="1:12" x14ac:dyDescent="0.25">
      <c r="A49" s="1" t="s">
        <v>97</v>
      </c>
      <c r="B49" s="2">
        <v>45492</v>
      </c>
      <c r="C49" s="1" t="s">
        <v>34</v>
      </c>
      <c r="D49" s="1" t="s">
        <v>22</v>
      </c>
      <c r="E49" s="1" t="s">
        <v>76</v>
      </c>
      <c r="F49" s="1" t="s">
        <v>49</v>
      </c>
      <c r="G49">
        <v>458</v>
      </c>
      <c r="H49">
        <v>8</v>
      </c>
      <c r="I49">
        <v>0.5</v>
      </c>
      <c r="J49">
        <v>-195.99</v>
      </c>
      <c r="K49" t="str">
        <f>_xlfn.XLOOKUP(Order_ID_Order[[#This Row],[Region]],'Analysis Dashboard'!O$2:O$5,'Analysis Dashboard'!P$2:P$5)</f>
        <v>Neha Singh</v>
      </c>
      <c r="L49" t="str">
        <f t="shared" si="0"/>
        <v>31-40%</v>
      </c>
    </row>
    <row r="50" spans="1:12" x14ac:dyDescent="0.25">
      <c r="A50" s="1" t="s">
        <v>98</v>
      </c>
      <c r="B50" s="2">
        <v>45361</v>
      </c>
      <c r="C50" s="1" t="s">
        <v>62</v>
      </c>
      <c r="D50" s="1" t="s">
        <v>26</v>
      </c>
      <c r="E50" s="1" t="s">
        <v>27</v>
      </c>
      <c r="F50" s="1" t="s">
        <v>28</v>
      </c>
      <c r="G50">
        <v>51.84</v>
      </c>
      <c r="H50">
        <v>1</v>
      </c>
      <c r="I50">
        <v>0.5</v>
      </c>
      <c r="J50">
        <v>-29.2</v>
      </c>
      <c r="K50" t="str">
        <f>_xlfn.XLOOKUP(Order_ID_Order[[#This Row],[Region]],'Analysis Dashboard'!O$2:O$5,'Analysis Dashboard'!P$2:P$5)</f>
        <v>Priya Sharma</v>
      </c>
      <c r="L50" t="str">
        <f t="shared" si="0"/>
        <v>31-40%</v>
      </c>
    </row>
    <row r="51" spans="1:12" x14ac:dyDescent="0.25">
      <c r="A51" s="1" t="s">
        <v>99</v>
      </c>
      <c r="B51" s="2">
        <v>45892</v>
      </c>
      <c r="C51" s="1" t="s">
        <v>62</v>
      </c>
      <c r="D51" s="1" t="s">
        <v>22</v>
      </c>
      <c r="E51" s="1" t="s">
        <v>76</v>
      </c>
      <c r="F51" s="1" t="s">
        <v>24</v>
      </c>
      <c r="G51">
        <v>206.22</v>
      </c>
      <c r="H51">
        <v>5</v>
      </c>
      <c r="I51">
        <v>0.4</v>
      </c>
      <c r="J51">
        <v>-56.47</v>
      </c>
      <c r="K51" t="str">
        <f>_xlfn.XLOOKUP(Order_ID_Order[[#This Row],[Region]],'Analysis Dashboard'!O$2:O$5,'Analysis Dashboard'!P$2:P$5)</f>
        <v>Priya Sharma</v>
      </c>
      <c r="L51" t="str">
        <f t="shared" si="0"/>
        <v>31-40%</v>
      </c>
    </row>
    <row r="52" spans="1:12" x14ac:dyDescent="0.25">
      <c r="A52" s="1" t="s">
        <v>100</v>
      </c>
      <c r="B52" s="2">
        <v>45962</v>
      </c>
      <c r="C52" s="1" t="s">
        <v>34</v>
      </c>
      <c r="D52" s="1" t="s">
        <v>22</v>
      </c>
      <c r="E52" s="1" t="s">
        <v>35</v>
      </c>
      <c r="F52" s="1" t="s">
        <v>64</v>
      </c>
      <c r="G52">
        <v>420.72</v>
      </c>
      <c r="H52">
        <v>8</v>
      </c>
      <c r="I52">
        <v>0.5</v>
      </c>
      <c r="J52">
        <v>-179.07</v>
      </c>
      <c r="K52" t="str">
        <f>_xlfn.XLOOKUP(Order_ID_Order[[#This Row],[Region]],'Analysis Dashboard'!O$2:O$5,'Analysis Dashboard'!P$2:P$5)</f>
        <v>Neha Singh</v>
      </c>
      <c r="L52" t="str">
        <f t="shared" si="0"/>
        <v>31-40%</v>
      </c>
    </row>
    <row r="53" spans="1:12" x14ac:dyDescent="0.25">
      <c r="A53" s="1" t="s">
        <v>101</v>
      </c>
      <c r="B53" s="2">
        <v>45330</v>
      </c>
      <c r="C53" s="1" t="s">
        <v>11</v>
      </c>
      <c r="D53" s="1" t="s">
        <v>26</v>
      </c>
      <c r="E53" s="1" t="s">
        <v>66</v>
      </c>
      <c r="F53" s="1" t="s">
        <v>88</v>
      </c>
      <c r="G53">
        <v>529.53</v>
      </c>
      <c r="H53">
        <v>6</v>
      </c>
      <c r="I53">
        <v>0.15</v>
      </c>
      <c r="J53">
        <v>-38.32</v>
      </c>
      <c r="K53" t="str">
        <f>_xlfn.XLOOKUP(Order_ID_Order[[#This Row],[Region]],'Analysis Dashboard'!O$2:O$5,'Analysis Dashboard'!P$2:P$5)</f>
        <v>Rahul Verma</v>
      </c>
      <c r="L53" t="str">
        <f t="shared" si="0"/>
        <v>11-20%</v>
      </c>
    </row>
    <row r="54" spans="1:12" x14ac:dyDescent="0.25">
      <c r="A54" s="1" t="s">
        <v>102</v>
      </c>
      <c r="B54" s="2">
        <v>45750</v>
      </c>
      <c r="C54" s="1" t="s">
        <v>11</v>
      </c>
      <c r="D54" s="1" t="s">
        <v>18</v>
      </c>
      <c r="E54" s="1" t="s">
        <v>43</v>
      </c>
      <c r="F54" s="1" t="s">
        <v>82</v>
      </c>
      <c r="G54">
        <v>10573.8</v>
      </c>
      <c r="H54">
        <v>10</v>
      </c>
      <c r="I54">
        <v>0</v>
      </c>
      <c r="J54">
        <v>3827.96</v>
      </c>
      <c r="K54" t="str">
        <f>_xlfn.XLOOKUP(Order_ID_Order[[#This Row],[Region]],'Analysis Dashboard'!O$2:O$5,'Analysis Dashboard'!P$2:P$5)</f>
        <v>Rahul Verma</v>
      </c>
      <c r="L54" t="str">
        <f t="shared" si="0"/>
        <v>0-10%</v>
      </c>
    </row>
    <row r="55" spans="1:12" x14ac:dyDescent="0.25">
      <c r="A55" s="1" t="s">
        <v>103</v>
      </c>
      <c r="B55" s="2">
        <v>45857</v>
      </c>
      <c r="C55" s="1" t="s">
        <v>11</v>
      </c>
      <c r="D55" s="1" t="s">
        <v>22</v>
      </c>
      <c r="E55" s="1" t="s">
        <v>35</v>
      </c>
      <c r="F55" s="1" t="s">
        <v>71</v>
      </c>
      <c r="G55">
        <v>489.92</v>
      </c>
      <c r="H55">
        <v>10</v>
      </c>
      <c r="I55">
        <v>0.05</v>
      </c>
      <c r="J55">
        <v>86.14</v>
      </c>
      <c r="K55" t="str">
        <f>_xlfn.XLOOKUP(Order_ID_Order[[#This Row],[Region]],'Analysis Dashboard'!O$2:O$5,'Analysis Dashboard'!P$2:P$5)</f>
        <v>Rahul Verma</v>
      </c>
      <c r="L55" t="str">
        <f t="shared" si="0"/>
        <v>0-10%</v>
      </c>
    </row>
    <row r="56" spans="1:12" x14ac:dyDescent="0.25">
      <c r="A56" s="1" t="s">
        <v>104</v>
      </c>
      <c r="B56" s="2">
        <v>45324</v>
      </c>
      <c r="C56" s="1" t="s">
        <v>62</v>
      </c>
      <c r="D56" s="1" t="s">
        <v>22</v>
      </c>
      <c r="E56" s="1" t="s">
        <v>76</v>
      </c>
      <c r="F56" s="1" t="s">
        <v>71</v>
      </c>
      <c r="G56">
        <v>815.63</v>
      </c>
      <c r="H56">
        <v>8</v>
      </c>
      <c r="I56">
        <v>0.05</v>
      </c>
      <c r="J56">
        <v>141.18</v>
      </c>
      <c r="K56" t="str">
        <f>_xlfn.XLOOKUP(Order_ID_Order[[#This Row],[Region]],'Analysis Dashboard'!O$2:O$5,'Analysis Dashboard'!P$2:P$5)</f>
        <v>Priya Sharma</v>
      </c>
      <c r="L56" t="str">
        <f t="shared" si="0"/>
        <v>0-10%</v>
      </c>
    </row>
    <row r="57" spans="1:12" x14ac:dyDescent="0.25">
      <c r="A57" s="1" t="s">
        <v>105</v>
      </c>
      <c r="B57" s="2">
        <v>45780</v>
      </c>
      <c r="C57" s="1" t="s">
        <v>34</v>
      </c>
      <c r="D57" s="1" t="s">
        <v>18</v>
      </c>
      <c r="E57" s="1" t="s">
        <v>95</v>
      </c>
      <c r="F57" s="1" t="s">
        <v>82</v>
      </c>
      <c r="G57">
        <v>4069.45</v>
      </c>
      <c r="H57">
        <v>7</v>
      </c>
      <c r="I57">
        <v>0</v>
      </c>
      <c r="J57">
        <v>1622.64</v>
      </c>
      <c r="K57" t="str">
        <f>_xlfn.XLOOKUP(Order_ID_Order[[#This Row],[Region]],'Analysis Dashboard'!O$2:O$5,'Analysis Dashboard'!P$2:P$5)</f>
        <v>Neha Singh</v>
      </c>
      <c r="L57" t="str">
        <f t="shared" si="0"/>
        <v>0-10%</v>
      </c>
    </row>
    <row r="58" spans="1:12" x14ac:dyDescent="0.25">
      <c r="A58" s="1" t="s">
        <v>106</v>
      </c>
      <c r="B58" s="2">
        <v>45768</v>
      </c>
      <c r="C58" s="1" t="s">
        <v>11</v>
      </c>
      <c r="D58" s="1" t="s">
        <v>18</v>
      </c>
      <c r="E58" s="1" t="s">
        <v>43</v>
      </c>
      <c r="F58" s="1" t="s">
        <v>20</v>
      </c>
      <c r="G58">
        <v>1173.58</v>
      </c>
      <c r="H58">
        <v>2</v>
      </c>
      <c r="I58">
        <v>0.2</v>
      </c>
      <c r="J58">
        <v>125.66</v>
      </c>
      <c r="K58" t="str">
        <f>_xlfn.XLOOKUP(Order_ID_Order[[#This Row],[Region]],'Analysis Dashboard'!O$2:O$5,'Analysis Dashboard'!P$2:P$5)</f>
        <v>Rahul Verma</v>
      </c>
      <c r="L58" t="str">
        <f t="shared" si="0"/>
        <v>11-20%</v>
      </c>
    </row>
    <row r="59" spans="1:12" x14ac:dyDescent="0.25">
      <c r="A59" s="1" t="s">
        <v>107</v>
      </c>
      <c r="B59" s="2">
        <v>45853</v>
      </c>
      <c r="C59" s="1" t="s">
        <v>62</v>
      </c>
      <c r="D59" s="1" t="s">
        <v>18</v>
      </c>
      <c r="E59" s="1" t="s">
        <v>81</v>
      </c>
      <c r="F59" s="1" t="s">
        <v>20</v>
      </c>
      <c r="G59">
        <v>5722.65</v>
      </c>
      <c r="H59">
        <v>9</v>
      </c>
      <c r="I59">
        <v>0</v>
      </c>
      <c r="J59">
        <v>2163.1</v>
      </c>
      <c r="K59" t="str">
        <f>_xlfn.XLOOKUP(Order_ID_Order[[#This Row],[Region]],'Analysis Dashboard'!O$2:O$5,'Analysis Dashboard'!P$2:P$5)</f>
        <v>Priya Sharma</v>
      </c>
      <c r="L59" t="str">
        <f t="shared" si="0"/>
        <v>0-10%</v>
      </c>
    </row>
    <row r="60" spans="1:12" x14ac:dyDescent="0.25">
      <c r="A60" s="1" t="s">
        <v>45</v>
      </c>
      <c r="B60" s="2">
        <v>45689</v>
      </c>
      <c r="C60" s="1" t="s">
        <v>11</v>
      </c>
      <c r="D60" s="1" t="s">
        <v>18</v>
      </c>
      <c r="E60" s="1" t="s">
        <v>19</v>
      </c>
      <c r="F60" s="1" t="s">
        <v>32</v>
      </c>
      <c r="G60">
        <v>2378.2800000000002</v>
      </c>
      <c r="H60">
        <v>5</v>
      </c>
      <c r="I60">
        <v>0.4</v>
      </c>
      <c r="J60">
        <v>-403.8</v>
      </c>
      <c r="K60" t="str">
        <f>_xlfn.XLOOKUP(Order_ID_Order[[#This Row],[Region]],'Analysis Dashboard'!O$2:O$5,'Analysis Dashboard'!P$2:P$5)</f>
        <v>Rahul Verma</v>
      </c>
      <c r="L60" t="str">
        <f t="shared" si="0"/>
        <v>31-40%</v>
      </c>
    </row>
    <row r="61" spans="1:12" x14ac:dyDescent="0.25">
      <c r="A61" s="1" t="s">
        <v>108</v>
      </c>
      <c r="B61" s="2">
        <v>45617</v>
      </c>
      <c r="C61" s="1" t="s">
        <v>34</v>
      </c>
      <c r="D61" s="1" t="s">
        <v>22</v>
      </c>
      <c r="E61" s="1" t="s">
        <v>15</v>
      </c>
      <c r="F61" s="1" t="s">
        <v>16</v>
      </c>
      <c r="G61">
        <v>45.54</v>
      </c>
      <c r="H61">
        <v>3</v>
      </c>
      <c r="I61">
        <v>0.15</v>
      </c>
      <c r="J61">
        <v>2.34</v>
      </c>
      <c r="K61" t="str">
        <f>_xlfn.XLOOKUP(Order_ID_Order[[#This Row],[Region]],'Analysis Dashboard'!O$2:O$5,'Analysis Dashboard'!P$2:P$5)</f>
        <v>Neha Singh</v>
      </c>
      <c r="L61" t="str">
        <f t="shared" si="0"/>
        <v>11-20%</v>
      </c>
    </row>
    <row r="62" spans="1:12" x14ac:dyDescent="0.25">
      <c r="A62" s="1" t="s">
        <v>109</v>
      </c>
      <c r="B62" s="2">
        <v>45559</v>
      </c>
      <c r="C62" s="1" t="s">
        <v>11</v>
      </c>
      <c r="D62" s="1" t="s">
        <v>22</v>
      </c>
      <c r="E62" s="1" t="s">
        <v>15</v>
      </c>
      <c r="F62" s="1" t="s">
        <v>71</v>
      </c>
      <c r="G62">
        <v>1076.69</v>
      </c>
      <c r="H62">
        <v>9</v>
      </c>
      <c r="I62">
        <v>0.2</v>
      </c>
      <c r="J62">
        <v>-27.92</v>
      </c>
      <c r="K62" t="str">
        <f>_xlfn.XLOOKUP(Order_ID_Order[[#This Row],[Region]],'Analysis Dashboard'!O$2:O$5,'Analysis Dashboard'!P$2:P$5)</f>
        <v>Rahul Verma</v>
      </c>
      <c r="L62" t="str">
        <f t="shared" si="0"/>
        <v>11-20%</v>
      </c>
    </row>
    <row r="63" spans="1:12" x14ac:dyDescent="0.25">
      <c r="A63" s="1" t="s">
        <v>110</v>
      </c>
      <c r="B63" s="2">
        <v>45970</v>
      </c>
      <c r="C63" s="1" t="s">
        <v>62</v>
      </c>
      <c r="D63" s="1" t="s">
        <v>22</v>
      </c>
      <c r="E63" s="1" t="s">
        <v>15</v>
      </c>
      <c r="F63" s="1" t="s">
        <v>39</v>
      </c>
      <c r="G63">
        <v>583.16999999999996</v>
      </c>
      <c r="H63">
        <v>6</v>
      </c>
      <c r="I63">
        <v>0.05</v>
      </c>
      <c r="J63">
        <v>97.97</v>
      </c>
      <c r="K63" t="str">
        <f>_xlfn.XLOOKUP(Order_ID_Order[[#This Row],[Region]],'Analysis Dashboard'!O$2:O$5,'Analysis Dashboard'!P$2:P$5)</f>
        <v>Priya Sharma</v>
      </c>
      <c r="L63" t="str">
        <f t="shared" si="0"/>
        <v>0-10%</v>
      </c>
    </row>
    <row r="64" spans="1:12" x14ac:dyDescent="0.25">
      <c r="A64" s="1" t="s">
        <v>111</v>
      </c>
      <c r="B64" s="2">
        <v>45865</v>
      </c>
      <c r="C64" s="1" t="s">
        <v>11</v>
      </c>
      <c r="D64" s="1" t="s">
        <v>22</v>
      </c>
      <c r="E64" s="1" t="s">
        <v>15</v>
      </c>
      <c r="F64" s="1" t="s">
        <v>60</v>
      </c>
      <c r="G64">
        <v>119.33</v>
      </c>
      <c r="H64">
        <v>4</v>
      </c>
      <c r="I64">
        <v>0.2</v>
      </c>
      <c r="J64">
        <v>-0.25</v>
      </c>
      <c r="K64" t="str">
        <f>_xlfn.XLOOKUP(Order_ID_Order[[#This Row],[Region]],'Analysis Dashboard'!O$2:O$5,'Analysis Dashboard'!P$2:P$5)</f>
        <v>Rahul Verma</v>
      </c>
      <c r="L64" t="str">
        <f t="shared" si="0"/>
        <v>11-20%</v>
      </c>
    </row>
    <row r="65" spans="1:12" x14ac:dyDescent="0.25">
      <c r="A65" s="1" t="s">
        <v>112</v>
      </c>
      <c r="B65" s="2">
        <v>45788</v>
      </c>
      <c r="C65" s="1" t="s">
        <v>62</v>
      </c>
      <c r="D65" s="1" t="s">
        <v>22</v>
      </c>
      <c r="E65" s="1" t="s">
        <v>15</v>
      </c>
      <c r="F65" s="1" t="s">
        <v>30</v>
      </c>
      <c r="G65">
        <v>119.4</v>
      </c>
      <c r="H65">
        <v>5</v>
      </c>
      <c r="I65">
        <v>0.2</v>
      </c>
      <c r="J65">
        <v>-3.1</v>
      </c>
      <c r="K65" t="str">
        <f>_xlfn.XLOOKUP(Order_ID_Order[[#This Row],[Region]],'Analysis Dashboard'!O$2:O$5,'Analysis Dashboard'!P$2:P$5)</f>
        <v>Priya Sharma</v>
      </c>
      <c r="L65" t="str">
        <f t="shared" si="0"/>
        <v>11-20%</v>
      </c>
    </row>
    <row r="66" spans="1:12" x14ac:dyDescent="0.25">
      <c r="A66" s="1" t="s">
        <v>113</v>
      </c>
      <c r="B66" s="2">
        <v>45492</v>
      </c>
      <c r="C66" s="1" t="s">
        <v>34</v>
      </c>
      <c r="D66" s="1" t="s">
        <v>22</v>
      </c>
      <c r="E66" s="1" t="s">
        <v>35</v>
      </c>
      <c r="F66" s="1" t="s">
        <v>64</v>
      </c>
      <c r="G66">
        <v>521.71</v>
      </c>
      <c r="H66">
        <v>8</v>
      </c>
      <c r="I66">
        <v>0.4</v>
      </c>
      <c r="J66">
        <v>-156.32</v>
      </c>
      <c r="K66" t="str">
        <f>_xlfn.XLOOKUP(Order_ID_Order[[#This Row],[Region]],'Analysis Dashboard'!O$2:O$5,'Analysis Dashboard'!P$2:P$5)</f>
        <v>Neha Singh</v>
      </c>
      <c r="L66" t="str">
        <f t="shared" ref="L66:L129" si="1">IF(I66&lt;=0.1,"0-10%",IF(I66&lt;=0.2,"11-20%",IF(I66&lt;=0.3,"21-30%","31-40%")))</f>
        <v>31-40%</v>
      </c>
    </row>
    <row r="67" spans="1:12" x14ac:dyDescent="0.25">
      <c r="A67" s="1" t="s">
        <v>114</v>
      </c>
      <c r="B67" s="2">
        <v>45671</v>
      </c>
      <c r="C67" s="1" t="s">
        <v>62</v>
      </c>
      <c r="D67" s="1" t="s">
        <v>26</v>
      </c>
      <c r="E67" s="1" t="s">
        <v>27</v>
      </c>
      <c r="F67" s="1" t="s">
        <v>115</v>
      </c>
      <c r="G67">
        <v>1410.15</v>
      </c>
      <c r="H67">
        <v>7</v>
      </c>
      <c r="I67">
        <v>0</v>
      </c>
      <c r="J67">
        <v>158.96</v>
      </c>
      <c r="K67" t="str">
        <f>_xlfn.XLOOKUP(Order_ID_Order[[#This Row],[Region]],'Analysis Dashboard'!O$2:O$5,'Analysis Dashboard'!P$2:P$5)</f>
        <v>Priya Sharma</v>
      </c>
      <c r="L67" t="str">
        <f t="shared" si="1"/>
        <v>0-10%</v>
      </c>
    </row>
    <row r="68" spans="1:12" x14ac:dyDescent="0.25">
      <c r="A68" s="1" t="s">
        <v>116</v>
      </c>
      <c r="B68" s="2">
        <v>45439</v>
      </c>
      <c r="C68" s="1" t="s">
        <v>11</v>
      </c>
      <c r="D68" s="1" t="s">
        <v>22</v>
      </c>
      <c r="E68" s="1" t="s">
        <v>76</v>
      </c>
      <c r="F68" s="1" t="s">
        <v>24</v>
      </c>
      <c r="G68">
        <v>255.62</v>
      </c>
      <c r="H68">
        <v>8</v>
      </c>
      <c r="I68">
        <v>0.2</v>
      </c>
      <c r="J68">
        <v>-7.1</v>
      </c>
      <c r="K68" t="str">
        <f>_xlfn.XLOOKUP(Order_ID_Order[[#This Row],[Region]],'Analysis Dashboard'!O$2:O$5,'Analysis Dashboard'!P$2:P$5)</f>
        <v>Rahul Verma</v>
      </c>
      <c r="L68" t="str">
        <f t="shared" si="1"/>
        <v>11-20%</v>
      </c>
    </row>
    <row r="69" spans="1:12" x14ac:dyDescent="0.25">
      <c r="A69" s="1" t="s">
        <v>117</v>
      </c>
      <c r="B69" s="2">
        <v>45585</v>
      </c>
      <c r="C69" s="1" t="s">
        <v>11</v>
      </c>
      <c r="D69" s="1" t="s">
        <v>18</v>
      </c>
      <c r="E69" s="1" t="s">
        <v>81</v>
      </c>
      <c r="F69" s="1" t="s">
        <v>96</v>
      </c>
      <c r="G69">
        <v>3258.22</v>
      </c>
      <c r="H69">
        <v>10</v>
      </c>
      <c r="I69">
        <v>0.15</v>
      </c>
      <c r="J69">
        <v>524.27</v>
      </c>
      <c r="K69" t="str">
        <f>_xlfn.XLOOKUP(Order_ID_Order[[#This Row],[Region]],'Analysis Dashboard'!O$2:O$5,'Analysis Dashboard'!P$2:P$5)</f>
        <v>Rahul Verma</v>
      </c>
      <c r="L69" t="str">
        <f t="shared" si="1"/>
        <v>11-20%</v>
      </c>
    </row>
    <row r="70" spans="1:12" x14ac:dyDescent="0.25">
      <c r="A70" s="1" t="s">
        <v>118</v>
      </c>
      <c r="B70" s="2">
        <v>45306</v>
      </c>
      <c r="C70" s="1" t="s">
        <v>11</v>
      </c>
      <c r="D70" s="1" t="s">
        <v>26</v>
      </c>
      <c r="E70" s="1" t="s">
        <v>66</v>
      </c>
      <c r="F70" s="1" t="s">
        <v>85</v>
      </c>
      <c r="G70">
        <v>5127.71</v>
      </c>
      <c r="H70">
        <v>7</v>
      </c>
      <c r="I70">
        <v>0</v>
      </c>
      <c r="J70">
        <v>626</v>
      </c>
      <c r="K70" t="str">
        <f>_xlfn.XLOOKUP(Order_ID_Order[[#This Row],[Region]],'Analysis Dashboard'!O$2:O$5,'Analysis Dashboard'!P$2:P$5)</f>
        <v>Rahul Verma</v>
      </c>
      <c r="L70" t="str">
        <f t="shared" si="1"/>
        <v>0-10%</v>
      </c>
    </row>
    <row r="71" spans="1:12" x14ac:dyDescent="0.25">
      <c r="A71" s="1" t="s">
        <v>119</v>
      </c>
      <c r="B71" s="2">
        <v>45751</v>
      </c>
      <c r="C71" s="1" t="s">
        <v>11</v>
      </c>
      <c r="D71" s="1" t="s">
        <v>22</v>
      </c>
      <c r="E71" s="1" t="s">
        <v>15</v>
      </c>
      <c r="F71" s="1" t="s">
        <v>24</v>
      </c>
      <c r="G71">
        <v>1336.14</v>
      </c>
      <c r="H71">
        <v>10</v>
      </c>
      <c r="I71">
        <v>0.1</v>
      </c>
      <c r="J71">
        <v>130.6</v>
      </c>
      <c r="K71" t="str">
        <f>_xlfn.XLOOKUP(Order_ID_Order[[#This Row],[Region]],'Analysis Dashboard'!O$2:O$5,'Analysis Dashboard'!P$2:P$5)</f>
        <v>Rahul Verma</v>
      </c>
      <c r="L71" t="str">
        <f t="shared" si="1"/>
        <v>0-10%</v>
      </c>
    </row>
    <row r="72" spans="1:12" x14ac:dyDescent="0.25">
      <c r="A72" s="1" t="s">
        <v>120</v>
      </c>
      <c r="B72" s="2">
        <v>45379</v>
      </c>
      <c r="C72" s="1" t="s">
        <v>62</v>
      </c>
      <c r="D72" s="1" t="s">
        <v>18</v>
      </c>
      <c r="E72" s="1" t="s">
        <v>43</v>
      </c>
      <c r="F72" s="1" t="s">
        <v>20</v>
      </c>
      <c r="G72">
        <v>489.9</v>
      </c>
      <c r="H72">
        <v>2</v>
      </c>
      <c r="I72">
        <v>0.3</v>
      </c>
      <c r="J72">
        <v>-15.1</v>
      </c>
      <c r="K72" t="str">
        <f>_xlfn.XLOOKUP(Order_ID_Order[[#This Row],[Region]],'Analysis Dashboard'!O$2:O$5,'Analysis Dashboard'!P$2:P$5)</f>
        <v>Priya Sharma</v>
      </c>
      <c r="L72" t="str">
        <f t="shared" si="1"/>
        <v>21-30%</v>
      </c>
    </row>
    <row r="73" spans="1:12" x14ac:dyDescent="0.25">
      <c r="A73" s="1" t="s">
        <v>121</v>
      </c>
      <c r="B73" s="2">
        <v>45345</v>
      </c>
      <c r="C73" s="1" t="s">
        <v>122</v>
      </c>
      <c r="D73" s="1" t="s">
        <v>26</v>
      </c>
      <c r="E73" s="1" t="s">
        <v>53</v>
      </c>
      <c r="F73" s="1" t="s">
        <v>28</v>
      </c>
      <c r="G73">
        <v>818.08</v>
      </c>
      <c r="H73">
        <v>4</v>
      </c>
      <c r="I73">
        <v>0</v>
      </c>
      <c r="J73">
        <v>84.61</v>
      </c>
      <c r="K73" t="str">
        <f>_xlfn.XLOOKUP(Order_ID_Order[[#This Row],[Region]],'Analysis Dashboard'!O$2:O$5,'Analysis Dashboard'!P$2:P$5)</f>
        <v>Ankit Gupta</v>
      </c>
      <c r="L73" t="str">
        <f t="shared" si="1"/>
        <v>0-10%</v>
      </c>
    </row>
    <row r="74" spans="1:12" x14ac:dyDescent="0.25">
      <c r="A74" s="1" t="s">
        <v>123</v>
      </c>
      <c r="B74" s="2">
        <v>45939</v>
      </c>
      <c r="C74" s="1" t="s">
        <v>11</v>
      </c>
      <c r="D74" s="1" t="s">
        <v>22</v>
      </c>
      <c r="E74" s="1" t="s">
        <v>48</v>
      </c>
      <c r="F74" s="1" t="s">
        <v>49</v>
      </c>
      <c r="G74">
        <v>210.29</v>
      </c>
      <c r="H74">
        <v>6</v>
      </c>
      <c r="I74">
        <v>0.3</v>
      </c>
      <c r="J74">
        <v>-29.32</v>
      </c>
      <c r="K74" t="str">
        <f>_xlfn.XLOOKUP(Order_ID_Order[[#This Row],[Region]],'Analysis Dashboard'!O$2:O$5,'Analysis Dashboard'!P$2:P$5)</f>
        <v>Rahul Verma</v>
      </c>
      <c r="L74" t="str">
        <f t="shared" si="1"/>
        <v>21-30%</v>
      </c>
    </row>
    <row r="75" spans="1:12" x14ac:dyDescent="0.25">
      <c r="A75" s="1" t="s">
        <v>124</v>
      </c>
      <c r="B75" s="2">
        <v>45435</v>
      </c>
      <c r="C75" s="1" t="s">
        <v>11</v>
      </c>
      <c r="D75" s="1" t="s">
        <v>22</v>
      </c>
      <c r="E75" s="1" t="s">
        <v>35</v>
      </c>
      <c r="F75" s="1" t="s">
        <v>71</v>
      </c>
      <c r="G75">
        <v>395.28</v>
      </c>
      <c r="H75">
        <v>3</v>
      </c>
      <c r="I75">
        <v>0.1</v>
      </c>
      <c r="J75">
        <v>51.22</v>
      </c>
      <c r="K75" t="str">
        <f>_xlfn.XLOOKUP(Order_ID_Order[[#This Row],[Region]],'Analysis Dashboard'!O$2:O$5,'Analysis Dashboard'!P$2:P$5)</f>
        <v>Rahul Verma</v>
      </c>
      <c r="L75" t="str">
        <f t="shared" si="1"/>
        <v>0-10%</v>
      </c>
    </row>
    <row r="76" spans="1:12" x14ac:dyDescent="0.25">
      <c r="A76" s="1" t="s">
        <v>125</v>
      </c>
      <c r="B76" s="2">
        <v>45676</v>
      </c>
      <c r="C76" s="1" t="s">
        <v>122</v>
      </c>
      <c r="D76" s="1" t="s">
        <v>22</v>
      </c>
      <c r="E76" s="1" t="s">
        <v>76</v>
      </c>
      <c r="F76" s="1" t="s">
        <v>71</v>
      </c>
      <c r="G76">
        <v>94.45</v>
      </c>
      <c r="H76">
        <v>3</v>
      </c>
      <c r="I76">
        <v>0.4</v>
      </c>
      <c r="J76">
        <v>-25.63</v>
      </c>
      <c r="K76" t="str">
        <f>_xlfn.XLOOKUP(Order_ID_Order[[#This Row],[Region]],'Analysis Dashboard'!O$2:O$5,'Analysis Dashboard'!P$2:P$5)</f>
        <v>Ankit Gupta</v>
      </c>
      <c r="L76" t="str">
        <f t="shared" si="1"/>
        <v>31-40%</v>
      </c>
    </row>
    <row r="77" spans="1:12" x14ac:dyDescent="0.25">
      <c r="A77" s="1" t="s">
        <v>126</v>
      </c>
      <c r="B77" s="2">
        <v>45640</v>
      </c>
      <c r="C77" s="1" t="s">
        <v>62</v>
      </c>
      <c r="D77" s="1" t="s">
        <v>22</v>
      </c>
      <c r="E77" s="1" t="s">
        <v>48</v>
      </c>
      <c r="F77" s="1" t="s">
        <v>64</v>
      </c>
      <c r="G77">
        <v>205.52</v>
      </c>
      <c r="H77">
        <v>3</v>
      </c>
      <c r="I77">
        <v>0.4</v>
      </c>
      <c r="J77">
        <v>-56.04</v>
      </c>
      <c r="K77" t="str">
        <f>_xlfn.XLOOKUP(Order_ID_Order[[#This Row],[Region]],'Analysis Dashboard'!O$2:O$5,'Analysis Dashboard'!P$2:P$5)</f>
        <v>Priya Sharma</v>
      </c>
      <c r="L77" t="str">
        <f t="shared" si="1"/>
        <v>31-40%</v>
      </c>
    </row>
    <row r="78" spans="1:12" x14ac:dyDescent="0.25">
      <c r="A78" s="1" t="s">
        <v>127</v>
      </c>
      <c r="B78" s="2">
        <v>45800</v>
      </c>
      <c r="C78" s="1" t="s">
        <v>11</v>
      </c>
      <c r="D78" s="1" t="s">
        <v>26</v>
      </c>
      <c r="E78" s="1" t="s">
        <v>12</v>
      </c>
      <c r="F78" s="1" t="s">
        <v>128</v>
      </c>
      <c r="G78">
        <v>1138.32</v>
      </c>
      <c r="H78">
        <v>5</v>
      </c>
      <c r="I78">
        <v>0.4</v>
      </c>
      <c r="J78">
        <v>-476.87</v>
      </c>
      <c r="K78" t="str">
        <f>_xlfn.XLOOKUP(Order_ID_Order[[#This Row],[Region]],'Analysis Dashboard'!O$2:O$5,'Analysis Dashboard'!P$2:P$5)</f>
        <v>Rahul Verma</v>
      </c>
      <c r="L78" t="str">
        <f t="shared" si="1"/>
        <v>31-40%</v>
      </c>
    </row>
    <row r="79" spans="1:12" x14ac:dyDescent="0.25">
      <c r="A79" s="1" t="s">
        <v>129</v>
      </c>
      <c r="B79" s="2">
        <v>45973</v>
      </c>
      <c r="C79" s="1" t="s">
        <v>34</v>
      </c>
      <c r="D79" s="1" t="s">
        <v>22</v>
      </c>
      <c r="E79" s="1" t="s">
        <v>35</v>
      </c>
      <c r="F79" s="1" t="s">
        <v>60</v>
      </c>
      <c r="G79">
        <v>307.94</v>
      </c>
      <c r="H79">
        <v>3</v>
      </c>
      <c r="I79">
        <v>0.05</v>
      </c>
      <c r="J79">
        <v>59.82</v>
      </c>
      <c r="K79" t="str">
        <f>_xlfn.XLOOKUP(Order_ID_Order[[#This Row],[Region]],'Analysis Dashboard'!O$2:O$5,'Analysis Dashboard'!P$2:P$5)</f>
        <v>Neha Singh</v>
      </c>
      <c r="L79" t="str">
        <f t="shared" si="1"/>
        <v>0-10%</v>
      </c>
    </row>
    <row r="80" spans="1:12" x14ac:dyDescent="0.25">
      <c r="A80" s="1" t="s">
        <v>130</v>
      </c>
      <c r="B80" s="2">
        <v>45790</v>
      </c>
      <c r="C80" s="1" t="s">
        <v>62</v>
      </c>
      <c r="D80" s="1" t="s">
        <v>26</v>
      </c>
      <c r="E80" s="1" t="s">
        <v>27</v>
      </c>
      <c r="F80" s="1" t="s">
        <v>54</v>
      </c>
      <c r="G80">
        <v>2621.4299999999998</v>
      </c>
      <c r="H80">
        <v>7</v>
      </c>
      <c r="I80">
        <v>0</v>
      </c>
      <c r="J80">
        <v>277.02</v>
      </c>
      <c r="K80" t="str">
        <f>_xlfn.XLOOKUP(Order_ID_Order[[#This Row],[Region]],'Analysis Dashboard'!O$2:O$5,'Analysis Dashboard'!P$2:P$5)</f>
        <v>Priya Sharma</v>
      </c>
      <c r="L80" t="str">
        <f t="shared" si="1"/>
        <v>0-10%</v>
      </c>
    </row>
    <row r="81" spans="1:12" x14ac:dyDescent="0.25">
      <c r="A81" s="1" t="s">
        <v>131</v>
      </c>
      <c r="B81" s="2">
        <v>45665</v>
      </c>
      <c r="C81" s="1" t="s">
        <v>34</v>
      </c>
      <c r="D81" s="1" t="s">
        <v>22</v>
      </c>
      <c r="E81" s="1" t="s">
        <v>35</v>
      </c>
      <c r="F81" s="1" t="s">
        <v>60</v>
      </c>
      <c r="G81">
        <v>426.11</v>
      </c>
      <c r="H81">
        <v>5</v>
      </c>
      <c r="I81">
        <v>0.15</v>
      </c>
      <c r="J81">
        <v>25.99</v>
      </c>
      <c r="K81" t="str">
        <f>_xlfn.XLOOKUP(Order_ID_Order[[#This Row],[Region]],'Analysis Dashboard'!O$2:O$5,'Analysis Dashboard'!P$2:P$5)</f>
        <v>Neha Singh</v>
      </c>
      <c r="L81" t="str">
        <f t="shared" si="1"/>
        <v>11-20%</v>
      </c>
    </row>
    <row r="82" spans="1:12" x14ac:dyDescent="0.25">
      <c r="A82" s="1" t="s">
        <v>132</v>
      </c>
      <c r="B82" s="2">
        <v>45705</v>
      </c>
      <c r="C82" s="1" t="s">
        <v>11</v>
      </c>
      <c r="D82" s="1" t="s">
        <v>22</v>
      </c>
      <c r="E82" s="1" t="s">
        <v>76</v>
      </c>
      <c r="F82" s="1" t="s">
        <v>16</v>
      </c>
      <c r="G82">
        <v>288.79000000000002</v>
      </c>
      <c r="H82">
        <v>9</v>
      </c>
      <c r="I82">
        <v>0.2</v>
      </c>
      <c r="J82">
        <v>-5.42</v>
      </c>
      <c r="K82" t="str">
        <f>_xlfn.XLOOKUP(Order_ID_Order[[#This Row],[Region]],'Analysis Dashboard'!O$2:O$5,'Analysis Dashboard'!P$2:P$5)</f>
        <v>Rahul Verma</v>
      </c>
      <c r="L82" t="str">
        <f t="shared" si="1"/>
        <v>11-20%</v>
      </c>
    </row>
    <row r="83" spans="1:12" x14ac:dyDescent="0.25">
      <c r="A83" s="1" t="s">
        <v>133</v>
      </c>
      <c r="B83" s="2">
        <v>45634</v>
      </c>
      <c r="C83" s="1" t="s">
        <v>11</v>
      </c>
      <c r="D83" s="1" t="s">
        <v>18</v>
      </c>
      <c r="E83" s="1" t="s">
        <v>43</v>
      </c>
      <c r="F83" s="1" t="s">
        <v>37</v>
      </c>
      <c r="G83">
        <v>10266.56</v>
      </c>
      <c r="H83">
        <v>8</v>
      </c>
      <c r="I83">
        <v>0</v>
      </c>
      <c r="J83">
        <v>4003.56</v>
      </c>
      <c r="K83" t="str">
        <f>_xlfn.XLOOKUP(Order_ID_Order[[#This Row],[Region]],'Analysis Dashboard'!O$2:O$5,'Analysis Dashboard'!P$2:P$5)</f>
        <v>Rahul Verma</v>
      </c>
      <c r="L83" t="str">
        <f t="shared" si="1"/>
        <v>0-10%</v>
      </c>
    </row>
    <row r="84" spans="1:12" x14ac:dyDescent="0.25">
      <c r="A84" s="1" t="s">
        <v>134</v>
      </c>
      <c r="B84" s="2">
        <v>45852</v>
      </c>
      <c r="C84" s="1" t="s">
        <v>34</v>
      </c>
      <c r="D84" s="1" t="s">
        <v>26</v>
      </c>
      <c r="E84" s="1" t="s">
        <v>66</v>
      </c>
      <c r="F84" s="1" t="s">
        <v>88</v>
      </c>
      <c r="G84">
        <v>507.76</v>
      </c>
      <c r="H84">
        <v>6</v>
      </c>
      <c r="I84">
        <v>0.15</v>
      </c>
      <c r="J84">
        <v>-50.49</v>
      </c>
      <c r="K84" t="str">
        <f>_xlfn.XLOOKUP(Order_ID_Order[[#This Row],[Region]],'Analysis Dashboard'!O$2:O$5,'Analysis Dashboard'!P$2:P$5)</f>
        <v>Neha Singh</v>
      </c>
      <c r="L84" t="str">
        <f t="shared" si="1"/>
        <v>11-20%</v>
      </c>
    </row>
    <row r="85" spans="1:12" x14ac:dyDescent="0.25">
      <c r="A85" s="1" t="s">
        <v>135</v>
      </c>
      <c r="B85" s="2">
        <v>45452</v>
      </c>
      <c r="C85" s="1" t="s">
        <v>11</v>
      </c>
      <c r="D85" s="1" t="s">
        <v>22</v>
      </c>
      <c r="E85" s="1" t="s">
        <v>35</v>
      </c>
      <c r="F85" s="1" t="s">
        <v>24</v>
      </c>
      <c r="G85">
        <v>100.13</v>
      </c>
      <c r="H85">
        <v>2</v>
      </c>
      <c r="I85">
        <v>0.2</v>
      </c>
      <c r="J85">
        <v>-1.51</v>
      </c>
      <c r="K85" t="str">
        <f>_xlfn.XLOOKUP(Order_ID_Order[[#This Row],[Region]],'Analysis Dashboard'!O$2:O$5,'Analysis Dashboard'!P$2:P$5)</f>
        <v>Rahul Verma</v>
      </c>
      <c r="L85" t="str">
        <f t="shared" si="1"/>
        <v>11-20%</v>
      </c>
    </row>
    <row r="86" spans="1:12" x14ac:dyDescent="0.25">
      <c r="A86" s="1" t="s">
        <v>136</v>
      </c>
      <c r="B86" s="2">
        <v>45574</v>
      </c>
      <c r="C86" s="1" t="s">
        <v>62</v>
      </c>
      <c r="D86" s="1" t="s">
        <v>22</v>
      </c>
      <c r="E86" s="1" t="s">
        <v>76</v>
      </c>
      <c r="F86" s="1" t="s">
        <v>49</v>
      </c>
      <c r="G86">
        <v>25.74</v>
      </c>
      <c r="H86">
        <v>1</v>
      </c>
      <c r="I86">
        <v>0.15</v>
      </c>
      <c r="J86">
        <v>1.68</v>
      </c>
      <c r="K86" t="str">
        <f>_xlfn.XLOOKUP(Order_ID_Order[[#This Row],[Region]],'Analysis Dashboard'!O$2:O$5,'Analysis Dashboard'!P$2:P$5)</f>
        <v>Priya Sharma</v>
      </c>
      <c r="L86" t="str">
        <f t="shared" si="1"/>
        <v>11-20%</v>
      </c>
    </row>
    <row r="87" spans="1:12" x14ac:dyDescent="0.25">
      <c r="A87" s="1" t="s">
        <v>137</v>
      </c>
      <c r="B87" s="2">
        <v>45713</v>
      </c>
      <c r="C87" s="1" t="s">
        <v>34</v>
      </c>
      <c r="D87" s="1" t="s">
        <v>22</v>
      </c>
      <c r="E87" s="1" t="s">
        <v>15</v>
      </c>
      <c r="F87" s="1" t="s">
        <v>71</v>
      </c>
      <c r="G87">
        <v>602.82000000000005</v>
      </c>
      <c r="H87">
        <v>6</v>
      </c>
      <c r="I87">
        <v>0</v>
      </c>
      <c r="J87">
        <v>154.91999999999999</v>
      </c>
      <c r="K87" t="str">
        <f>_xlfn.XLOOKUP(Order_ID_Order[[#This Row],[Region]],'Analysis Dashboard'!O$2:O$5,'Analysis Dashboard'!P$2:P$5)</f>
        <v>Neha Singh</v>
      </c>
      <c r="L87" t="str">
        <f t="shared" si="1"/>
        <v>0-10%</v>
      </c>
    </row>
    <row r="88" spans="1:12" x14ac:dyDescent="0.25">
      <c r="A88" s="1" t="s">
        <v>138</v>
      </c>
      <c r="B88" s="2">
        <v>45916</v>
      </c>
      <c r="C88" s="1" t="s">
        <v>34</v>
      </c>
      <c r="D88" s="1" t="s">
        <v>26</v>
      </c>
      <c r="E88" s="1" t="s">
        <v>66</v>
      </c>
      <c r="F88" s="1" t="s">
        <v>85</v>
      </c>
      <c r="G88">
        <v>1644.27</v>
      </c>
      <c r="H88">
        <v>4</v>
      </c>
      <c r="I88">
        <v>0.15</v>
      </c>
      <c r="J88">
        <v>-160.52000000000001</v>
      </c>
      <c r="K88" t="str">
        <f>_xlfn.XLOOKUP(Order_ID_Order[[#This Row],[Region]],'Analysis Dashboard'!O$2:O$5,'Analysis Dashboard'!P$2:P$5)</f>
        <v>Neha Singh</v>
      </c>
      <c r="L88" t="str">
        <f t="shared" si="1"/>
        <v>11-20%</v>
      </c>
    </row>
    <row r="89" spans="1:12" x14ac:dyDescent="0.25">
      <c r="A89" s="1" t="s">
        <v>139</v>
      </c>
      <c r="B89" s="2">
        <v>45339</v>
      </c>
      <c r="C89" s="1" t="s">
        <v>62</v>
      </c>
      <c r="D89" s="1" t="s">
        <v>22</v>
      </c>
      <c r="E89" s="1" t="s">
        <v>15</v>
      </c>
      <c r="F89" s="1" t="s">
        <v>16</v>
      </c>
      <c r="G89">
        <v>111.93</v>
      </c>
      <c r="H89">
        <v>2</v>
      </c>
      <c r="I89">
        <v>0.15</v>
      </c>
      <c r="J89">
        <v>6.85</v>
      </c>
      <c r="K89" t="str">
        <f>_xlfn.XLOOKUP(Order_ID_Order[[#This Row],[Region]],'Analysis Dashboard'!O$2:O$5,'Analysis Dashboard'!P$2:P$5)</f>
        <v>Priya Sharma</v>
      </c>
      <c r="L89" t="str">
        <f t="shared" si="1"/>
        <v>11-20%</v>
      </c>
    </row>
    <row r="90" spans="1:12" x14ac:dyDescent="0.25">
      <c r="A90" s="1" t="s">
        <v>140</v>
      </c>
      <c r="B90" s="2">
        <v>45670</v>
      </c>
      <c r="C90" s="1" t="s">
        <v>34</v>
      </c>
      <c r="D90" s="1" t="s">
        <v>18</v>
      </c>
      <c r="E90" s="1" t="s">
        <v>95</v>
      </c>
      <c r="F90" s="1" t="s">
        <v>20</v>
      </c>
      <c r="G90">
        <v>3391.79</v>
      </c>
      <c r="H90">
        <v>6</v>
      </c>
      <c r="I90">
        <v>0.1</v>
      </c>
      <c r="J90">
        <v>896.22</v>
      </c>
      <c r="K90" t="str">
        <f>_xlfn.XLOOKUP(Order_ID_Order[[#This Row],[Region]],'Analysis Dashboard'!O$2:O$5,'Analysis Dashboard'!P$2:P$5)</f>
        <v>Neha Singh</v>
      </c>
      <c r="L90" t="str">
        <f t="shared" si="1"/>
        <v>0-10%</v>
      </c>
    </row>
    <row r="91" spans="1:12" x14ac:dyDescent="0.25">
      <c r="A91" s="1" t="s">
        <v>141</v>
      </c>
      <c r="B91" s="2">
        <v>46021</v>
      </c>
      <c r="C91" s="1" t="s">
        <v>11</v>
      </c>
      <c r="D91" s="1" t="s">
        <v>18</v>
      </c>
      <c r="E91" s="1" t="s">
        <v>19</v>
      </c>
      <c r="F91" s="1" t="s">
        <v>32</v>
      </c>
      <c r="G91">
        <v>953.14</v>
      </c>
      <c r="H91">
        <v>1</v>
      </c>
      <c r="I91">
        <v>0</v>
      </c>
      <c r="J91">
        <v>353.86</v>
      </c>
      <c r="K91" t="str">
        <f>_xlfn.XLOOKUP(Order_ID_Order[[#This Row],[Region]],'Analysis Dashboard'!O$2:O$5,'Analysis Dashboard'!P$2:P$5)</f>
        <v>Rahul Verma</v>
      </c>
      <c r="L91" t="str">
        <f t="shared" si="1"/>
        <v>0-10%</v>
      </c>
    </row>
    <row r="92" spans="1:12" x14ac:dyDescent="0.25">
      <c r="A92" s="1" t="s">
        <v>142</v>
      </c>
      <c r="B92" s="2">
        <v>45992</v>
      </c>
      <c r="C92" s="1" t="s">
        <v>11</v>
      </c>
      <c r="D92" s="1" t="s">
        <v>26</v>
      </c>
      <c r="E92" s="1" t="s">
        <v>27</v>
      </c>
      <c r="F92" s="1" t="s">
        <v>54</v>
      </c>
      <c r="G92">
        <v>1690.24</v>
      </c>
      <c r="H92">
        <v>10</v>
      </c>
      <c r="I92">
        <v>0.2</v>
      </c>
      <c r="J92">
        <v>-230.38</v>
      </c>
      <c r="K92" t="str">
        <f>_xlfn.XLOOKUP(Order_ID_Order[[#This Row],[Region]],'Analysis Dashboard'!O$2:O$5,'Analysis Dashboard'!P$2:P$5)</f>
        <v>Rahul Verma</v>
      </c>
      <c r="L92" t="str">
        <f t="shared" si="1"/>
        <v>11-20%</v>
      </c>
    </row>
    <row r="93" spans="1:12" x14ac:dyDescent="0.25">
      <c r="A93" s="1" t="s">
        <v>143</v>
      </c>
      <c r="B93" s="2">
        <v>45450</v>
      </c>
      <c r="C93" s="1" t="s">
        <v>62</v>
      </c>
      <c r="D93" s="1" t="s">
        <v>18</v>
      </c>
      <c r="E93" s="1" t="s">
        <v>19</v>
      </c>
      <c r="F93" s="1" t="s">
        <v>37</v>
      </c>
      <c r="G93">
        <v>1466.31</v>
      </c>
      <c r="H93">
        <v>4</v>
      </c>
      <c r="I93">
        <v>0.05</v>
      </c>
      <c r="J93">
        <v>430.33</v>
      </c>
      <c r="K93" t="str">
        <f>_xlfn.XLOOKUP(Order_ID_Order[[#This Row],[Region]],'Analysis Dashboard'!O$2:O$5,'Analysis Dashboard'!P$2:P$5)</f>
        <v>Priya Sharma</v>
      </c>
      <c r="L93" t="str">
        <f t="shared" si="1"/>
        <v>0-10%</v>
      </c>
    </row>
    <row r="94" spans="1:12" x14ac:dyDescent="0.25">
      <c r="A94" s="1" t="s">
        <v>144</v>
      </c>
      <c r="B94" s="2">
        <v>45327</v>
      </c>
      <c r="C94" s="1" t="s">
        <v>62</v>
      </c>
      <c r="D94" s="1" t="s">
        <v>18</v>
      </c>
      <c r="E94" s="1" t="s">
        <v>19</v>
      </c>
      <c r="F94" s="1" t="s">
        <v>56</v>
      </c>
      <c r="G94">
        <v>245.45</v>
      </c>
      <c r="H94">
        <v>1</v>
      </c>
      <c r="I94">
        <v>0</v>
      </c>
      <c r="J94">
        <v>89.86</v>
      </c>
      <c r="K94" t="str">
        <f>_xlfn.XLOOKUP(Order_ID_Order[[#This Row],[Region]],'Analysis Dashboard'!O$2:O$5,'Analysis Dashboard'!P$2:P$5)</f>
        <v>Priya Sharma</v>
      </c>
      <c r="L94" t="str">
        <f t="shared" si="1"/>
        <v>0-10%</v>
      </c>
    </row>
    <row r="95" spans="1:12" x14ac:dyDescent="0.25">
      <c r="A95" s="1" t="s">
        <v>145</v>
      </c>
      <c r="B95" s="2">
        <v>45313</v>
      </c>
      <c r="C95" s="1" t="s">
        <v>11</v>
      </c>
      <c r="D95" s="1" t="s">
        <v>22</v>
      </c>
      <c r="E95" s="1" t="s">
        <v>48</v>
      </c>
      <c r="F95" s="1" t="s">
        <v>16</v>
      </c>
      <c r="G95">
        <v>326.57</v>
      </c>
      <c r="H95">
        <v>4</v>
      </c>
      <c r="I95">
        <v>0.05</v>
      </c>
      <c r="J95">
        <v>59.11</v>
      </c>
      <c r="K95" t="str">
        <f>_xlfn.XLOOKUP(Order_ID_Order[[#This Row],[Region]],'Analysis Dashboard'!O$2:O$5,'Analysis Dashboard'!P$2:P$5)</f>
        <v>Rahul Verma</v>
      </c>
      <c r="L95" t="str">
        <f t="shared" si="1"/>
        <v>0-10%</v>
      </c>
    </row>
    <row r="96" spans="1:12" x14ac:dyDescent="0.25">
      <c r="A96" s="1" t="s">
        <v>146</v>
      </c>
      <c r="B96" s="2">
        <v>45964</v>
      </c>
      <c r="C96" s="1" t="s">
        <v>122</v>
      </c>
      <c r="D96" s="1" t="s">
        <v>26</v>
      </c>
      <c r="E96" s="1" t="s">
        <v>27</v>
      </c>
      <c r="F96" s="1" t="s">
        <v>85</v>
      </c>
      <c r="G96">
        <v>168.25</v>
      </c>
      <c r="H96">
        <v>3</v>
      </c>
      <c r="I96">
        <v>0.4</v>
      </c>
      <c r="J96">
        <v>-70.55</v>
      </c>
      <c r="K96" t="str">
        <f>_xlfn.XLOOKUP(Order_ID_Order[[#This Row],[Region]],'Analysis Dashboard'!O$2:O$5,'Analysis Dashboard'!P$2:P$5)</f>
        <v>Ankit Gupta</v>
      </c>
      <c r="L96" t="str">
        <f t="shared" si="1"/>
        <v>31-40%</v>
      </c>
    </row>
    <row r="97" spans="1:12" x14ac:dyDescent="0.25">
      <c r="A97" s="1" t="s">
        <v>147</v>
      </c>
      <c r="B97" s="2">
        <v>45884</v>
      </c>
      <c r="C97" s="1" t="s">
        <v>122</v>
      </c>
      <c r="D97" s="1" t="s">
        <v>18</v>
      </c>
      <c r="E97" s="1" t="s">
        <v>81</v>
      </c>
      <c r="F97" s="1" t="s">
        <v>20</v>
      </c>
      <c r="G97">
        <v>1278.02</v>
      </c>
      <c r="H97">
        <v>4</v>
      </c>
      <c r="I97">
        <v>0.4</v>
      </c>
      <c r="J97">
        <v>-198.83</v>
      </c>
      <c r="K97" t="str">
        <f>_xlfn.XLOOKUP(Order_ID_Order[[#This Row],[Region]],'Analysis Dashboard'!O$2:O$5,'Analysis Dashboard'!P$2:P$5)</f>
        <v>Ankit Gupta</v>
      </c>
      <c r="L97" t="str">
        <f t="shared" si="1"/>
        <v>31-40%</v>
      </c>
    </row>
    <row r="98" spans="1:12" x14ac:dyDescent="0.25">
      <c r="A98" s="1" t="s">
        <v>148</v>
      </c>
      <c r="B98" s="2">
        <v>45525</v>
      </c>
      <c r="C98" s="1" t="s">
        <v>11</v>
      </c>
      <c r="D98" s="1" t="s">
        <v>18</v>
      </c>
      <c r="E98" s="1" t="s">
        <v>95</v>
      </c>
      <c r="F98" s="1" t="s">
        <v>82</v>
      </c>
      <c r="G98">
        <v>12325.5</v>
      </c>
      <c r="H98">
        <v>10</v>
      </c>
      <c r="I98">
        <v>0</v>
      </c>
      <c r="J98">
        <v>4608.3599999999997</v>
      </c>
      <c r="K98" t="str">
        <f>_xlfn.XLOOKUP(Order_ID_Order[[#This Row],[Region]],'Analysis Dashboard'!O$2:O$5,'Analysis Dashboard'!P$2:P$5)</f>
        <v>Rahul Verma</v>
      </c>
      <c r="L98" t="str">
        <f t="shared" si="1"/>
        <v>0-10%</v>
      </c>
    </row>
    <row r="99" spans="1:12" x14ac:dyDescent="0.25">
      <c r="A99" s="1" t="s">
        <v>149</v>
      </c>
      <c r="B99" s="2">
        <v>45458</v>
      </c>
      <c r="C99" s="1" t="s">
        <v>11</v>
      </c>
      <c r="D99" s="1" t="s">
        <v>26</v>
      </c>
      <c r="E99" s="1" t="s">
        <v>53</v>
      </c>
      <c r="F99" s="1" t="s">
        <v>54</v>
      </c>
      <c r="G99">
        <v>1494.25</v>
      </c>
      <c r="H99">
        <v>7</v>
      </c>
      <c r="I99">
        <v>0.05</v>
      </c>
      <c r="J99">
        <v>85.35</v>
      </c>
      <c r="K99" t="str">
        <f>_xlfn.XLOOKUP(Order_ID_Order[[#This Row],[Region]],'Analysis Dashboard'!O$2:O$5,'Analysis Dashboard'!P$2:P$5)</f>
        <v>Rahul Verma</v>
      </c>
      <c r="L99" t="str">
        <f t="shared" si="1"/>
        <v>0-10%</v>
      </c>
    </row>
    <row r="100" spans="1:12" x14ac:dyDescent="0.25">
      <c r="A100" s="1" t="s">
        <v>150</v>
      </c>
      <c r="B100" s="2">
        <v>45899</v>
      </c>
      <c r="C100" s="1" t="s">
        <v>11</v>
      </c>
      <c r="D100" s="1" t="s">
        <v>22</v>
      </c>
      <c r="E100" s="1" t="s">
        <v>23</v>
      </c>
      <c r="F100" s="1" t="s">
        <v>49</v>
      </c>
      <c r="G100">
        <v>634.62</v>
      </c>
      <c r="H100">
        <v>10</v>
      </c>
      <c r="I100">
        <v>0.4</v>
      </c>
      <c r="J100">
        <v>-185.01</v>
      </c>
      <c r="K100" t="str">
        <f>_xlfn.XLOOKUP(Order_ID_Order[[#This Row],[Region]],'Analysis Dashboard'!O$2:O$5,'Analysis Dashboard'!P$2:P$5)</f>
        <v>Rahul Verma</v>
      </c>
      <c r="L100" t="str">
        <f t="shared" si="1"/>
        <v>31-40%</v>
      </c>
    </row>
    <row r="101" spans="1:12" x14ac:dyDescent="0.25">
      <c r="A101" s="1" t="s">
        <v>151</v>
      </c>
      <c r="B101" s="2">
        <v>45394</v>
      </c>
      <c r="C101" s="1" t="s">
        <v>62</v>
      </c>
      <c r="D101" s="1" t="s">
        <v>22</v>
      </c>
      <c r="E101" s="1" t="s">
        <v>76</v>
      </c>
      <c r="F101" s="1" t="s">
        <v>60</v>
      </c>
      <c r="G101">
        <v>305.26</v>
      </c>
      <c r="H101">
        <v>9</v>
      </c>
      <c r="I101">
        <v>0.4</v>
      </c>
      <c r="J101">
        <v>-92.74</v>
      </c>
      <c r="K101" t="str">
        <f>_xlfn.XLOOKUP(Order_ID_Order[[#This Row],[Region]],'Analysis Dashboard'!O$2:O$5,'Analysis Dashboard'!P$2:P$5)</f>
        <v>Priya Sharma</v>
      </c>
      <c r="L101" t="str">
        <f t="shared" si="1"/>
        <v>31-40%</v>
      </c>
    </row>
    <row r="102" spans="1:12" x14ac:dyDescent="0.25">
      <c r="A102" s="1" t="s">
        <v>152</v>
      </c>
      <c r="B102" s="2">
        <v>45328</v>
      </c>
      <c r="C102" s="1" t="s">
        <v>34</v>
      </c>
      <c r="D102" s="1" t="s">
        <v>18</v>
      </c>
      <c r="E102" s="1" t="s">
        <v>19</v>
      </c>
      <c r="F102" s="1" t="s">
        <v>20</v>
      </c>
      <c r="G102">
        <v>3803.53</v>
      </c>
      <c r="H102">
        <v>7</v>
      </c>
      <c r="I102">
        <v>0.3</v>
      </c>
      <c r="J102">
        <v>-80.5</v>
      </c>
      <c r="K102" t="str">
        <f>_xlfn.XLOOKUP(Order_ID_Order[[#This Row],[Region]],'Analysis Dashboard'!O$2:O$5,'Analysis Dashboard'!P$2:P$5)</f>
        <v>Neha Singh</v>
      </c>
      <c r="L102" t="str">
        <f t="shared" si="1"/>
        <v>21-30%</v>
      </c>
    </row>
    <row r="103" spans="1:12" x14ac:dyDescent="0.25">
      <c r="A103" s="1" t="s">
        <v>153</v>
      </c>
      <c r="B103" s="2">
        <v>45679</v>
      </c>
      <c r="C103" s="1" t="s">
        <v>62</v>
      </c>
      <c r="D103" s="1" t="s">
        <v>18</v>
      </c>
      <c r="E103" s="1" t="s">
        <v>43</v>
      </c>
      <c r="F103" s="1" t="s">
        <v>82</v>
      </c>
      <c r="G103">
        <v>1138.07</v>
      </c>
      <c r="H103">
        <v>2</v>
      </c>
      <c r="I103">
        <v>0.4</v>
      </c>
      <c r="J103">
        <v>-197.28</v>
      </c>
      <c r="K103" t="str">
        <f>_xlfn.XLOOKUP(Order_ID_Order[[#This Row],[Region]],'Analysis Dashboard'!O$2:O$5,'Analysis Dashboard'!P$2:P$5)</f>
        <v>Priya Sharma</v>
      </c>
      <c r="L103" t="str">
        <f t="shared" si="1"/>
        <v>31-40%</v>
      </c>
    </row>
    <row r="104" spans="1:12" x14ac:dyDescent="0.25">
      <c r="A104" s="1" t="s">
        <v>154</v>
      </c>
      <c r="B104" s="2">
        <v>45975</v>
      </c>
      <c r="C104" s="1" t="s">
        <v>11</v>
      </c>
      <c r="D104" s="1" t="s">
        <v>18</v>
      </c>
      <c r="E104" s="1" t="s">
        <v>19</v>
      </c>
      <c r="F104" s="1" t="s">
        <v>82</v>
      </c>
      <c r="G104">
        <v>3997.32</v>
      </c>
      <c r="H104">
        <v>3</v>
      </c>
      <c r="I104">
        <v>0.1</v>
      </c>
      <c r="J104">
        <v>1025.77</v>
      </c>
      <c r="K104" t="str">
        <f>_xlfn.XLOOKUP(Order_ID_Order[[#This Row],[Region]],'Analysis Dashboard'!O$2:O$5,'Analysis Dashboard'!P$2:P$5)</f>
        <v>Rahul Verma</v>
      </c>
      <c r="L104" t="str">
        <f t="shared" si="1"/>
        <v>0-10%</v>
      </c>
    </row>
    <row r="105" spans="1:12" x14ac:dyDescent="0.25">
      <c r="A105" s="1" t="s">
        <v>155</v>
      </c>
      <c r="B105" s="2">
        <v>45453</v>
      </c>
      <c r="C105" s="1" t="s">
        <v>11</v>
      </c>
      <c r="D105" s="1" t="s">
        <v>26</v>
      </c>
      <c r="E105" s="1" t="s">
        <v>12</v>
      </c>
      <c r="F105" s="1" t="s">
        <v>28</v>
      </c>
      <c r="G105">
        <v>2405.9299999999998</v>
      </c>
      <c r="H105">
        <v>7</v>
      </c>
      <c r="I105">
        <v>0.2</v>
      </c>
      <c r="J105">
        <v>-370.28</v>
      </c>
      <c r="K105" t="str">
        <f>_xlfn.XLOOKUP(Order_ID_Order[[#This Row],[Region]],'Analysis Dashboard'!O$2:O$5,'Analysis Dashboard'!P$2:P$5)</f>
        <v>Rahul Verma</v>
      </c>
      <c r="L105" t="str">
        <f t="shared" si="1"/>
        <v>11-20%</v>
      </c>
    </row>
    <row r="106" spans="1:12" x14ac:dyDescent="0.25">
      <c r="A106" s="1" t="s">
        <v>156</v>
      </c>
      <c r="B106" s="2">
        <v>45562</v>
      </c>
      <c r="C106" s="1" t="s">
        <v>11</v>
      </c>
      <c r="D106" s="1" t="s">
        <v>22</v>
      </c>
      <c r="E106" s="1" t="s">
        <v>15</v>
      </c>
      <c r="F106" s="1" t="s">
        <v>39</v>
      </c>
      <c r="G106">
        <v>309.56</v>
      </c>
      <c r="H106">
        <v>3</v>
      </c>
      <c r="I106">
        <v>0.1</v>
      </c>
      <c r="J106">
        <v>32.090000000000003</v>
      </c>
      <c r="K106" t="str">
        <f>_xlfn.XLOOKUP(Order_ID_Order[[#This Row],[Region]],'Analysis Dashboard'!O$2:O$5,'Analysis Dashboard'!P$2:P$5)</f>
        <v>Rahul Verma</v>
      </c>
      <c r="L106" t="str">
        <f t="shared" si="1"/>
        <v>0-10%</v>
      </c>
    </row>
    <row r="107" spans="1:12" x14ac:dyDescent="0.25">
      <c r="A107" s="1" t="s">
        <v>157</v>
      </c>
      <c r="B107" s="2">
        <v>45462</v>
      </c>
      <c r="C107" s="1" t="s">
        <v>11</v>
      </c>
      <c r="D107" s="1" t="s">
        <v>18</v>
      </c>
      <c r="E107" s="1" t="s">
        <v>95</v>
      </c>
      <c r="F107" s="1" t="s">
        <v>20</v>
      </c>
      <c r="G107">
        <v>770.67</v>
      </c>
      <c r="H107">
        <v>1</v>
      </c>
      <c r="I107">
        <v>0.15</v>
      </c>
      <c r="J107">
        <v>130.22999999999999</v>
      </c>
      <c r="K107" t="str">
        <f>_xlfn.XLOOKUP(Order_ID_Order[[#This Row],[Region]],'Analysis Dashboard'!O$2:O$5,'Analysis Dashboard'!P$2:P$5)</f>
        <v>Rahul Verma</v>
      </c>
      <c r="L107" t="str">
        <f t="shared" si="1"/>
        <v>11-20%</v>
      </c>
    </row>
    <row r="108" spans="1:12" x14ac:dyDescent="0.25">
      <c r="A108" s="1" t="s">
        <v>158</v>
      </c>
      <c r="B108" s="2">
        <v>45383</v>
      </c>
      <c r="C108" s="1" t="s">
        <v>11</v>
      </c>
      <c r="D108" s="1" t="s">
        <v>18</v>
      </c>
      <c r="E108" s="1" t="s">
        <v>43</v>
      </c>
      <c r="F108" s="1" t="s">
        <v>56</v>
      </c>
      <c r="G108">
        <v>1321.29</v>
      </c>
      <c r="H108">
        <v>1</v>
      </c>
      <c r="I108">
        <v>0</v>
      </c>
      <c r="J108">
        <v>478.87</v>
      </c>
      <c r="K108" t="str">
        <f>_xlfn.XLOOKUP(Order_ID_Order[[#This Row],[Region]],'Analysis Dashboard'!O$2:O$5,'Analysis Dashboard'!P$2:P$5)</f>
        <v>Rahul Verma</v>
      </c>
      <c r="L108" t="str">
        <f t="shared" si="1"/>
        <v>0-10%</v>
      </c>
    </row>
    <row r="109" spans="1:12" x14ac:dyDescent="0.25">
      <c r="A109" s="1" t="s">
        <v>159</v>
      </c>
      <c r="B109" s="2">
        <v>45781</v>
      </c>
      <c r="C109" s="1" t="s">
        <v>62</v>
      </c>
      <c r="D109" s="1" t="s">
        <v>22</v>
      </c>
      <c r="E109" s="1" t="s">
        <v>35</v>
      </c>
      <c r="F109" s="1" t="s">
        <v>24</v>
      </c>
      <c r="G109">
        <v>238.4</v>
      </c>
      <c r="H109">
        <v>4</v>
      </c>
      <c r="I109">
        <v>0.2</v>
      </c>
      <c r="J109">
        <v>-2.15</v>
      </c>
      <c r="K109" t="str">
        <f>_xlfn.XLOOKUP(Order_ID_Order[[#This Row],[Region]],'Analysis Dashboard'!O$2:O$5,'Analysis Dashboard'!P$2:P$5)</f>
        <v>Priya Sharma</v>
      </c>
      <c r="L109" t="str">
        <f t="shared" si="1"/>
        <v>11-20%</v>
      </c>
    </row>
    <row r="110" spans="1:12" x14ac:dyDescent="0.25">
      <c r="A110" s="1" t="s">
        <v>160</v>
      </c>
      <c r="B110" s="2">
        <v>45684</v>
      </c>
      <c r="C110" s="1" t="s">
        <v>11</v>
      </c>
      <c r="D110" s="1" t="s">
        <v>26</v>
      </c>
      <c r="E110" s="1" t="s">
        <v>12</v>
      </c>
      <c r="F110" s="1" t="s">
        <v>115</v>
      </c>
      <c r="G110">
        <v>1206.74</v>
      </c>
      <c r="H110">
        <v>4</v>
      </c>
      <c r="I110">
        <v>0.4</v>
      </c>
      <c r="J110">
        <v>-486.9</v>
      </c>
      <c r="K110" t="str">
        <f>_xlfn.XLOOKUP(Order_ID_Order[[#This Row],[Region]],'Analysis Dashboard'!O$2:O$5,'Analysis Dashboard'!P$2:P$5)</f>
        <v>Rahul Verma</v>
      </c>
      <c r="L110" t="str">
        <f t="shared" si="1"/>
        <v>31-40%</v>
      </c>
    </row>
    <row r="111" spans="1:12" x14ac:dyDescent="0.25">
      <c r="A111" s="1" t="s">
        <v>161</v>
      </c>
      <c r="B111" s="2">
        <v>45878</v>
      </c>
      <c r="C111" s="1" t="s">
        <v>11</v>
      </c>
      <c r="D111" s="1" t="s">
        <v>18</v>
      </c>
      <c r="E111" s="1" t="s">
        <v>19</v>
      </c>
      <c r="F111" s="1" t="s">
        <v>96</v>
      </c>
      <c r="G111">
        <v>4036.17</v>
      </c>
      <c r="H111">
        <v>10</v>
      </c>
      <c r="I111">
        <v>0.05</v>
      </c>
      <c r="J111">
        <v>1297.01</v>
      </c>
      <c r="K111" t="str">
        <f>_xlfn.XLOOKUP(Order_ID_Order[[#This Row],[Region]],'Analysis Dashboard'!O$2:O$5,'Analysis Dashboard'!P$2:P$5)</f>
        <v>Rahul Verma</v>
      </c>
      <c r="L111" t="str">
        <f t="shared" si="1"/>
        <v>0-10%</v>
      </c>
    </row>
    <row r="112" spans="1:12" x14ac:dyDescent="0.25">
      <c r="A112" s="1" t="s">
        <v>162</v>
      </c>
      <c r="B112" s="2">
        <v>45607</v>
      </c>
      <c r="C112" s="1" t="s">
        <v>11</v>
      </c>
      <c r="D112" s="1" t="s">
        <v>26</v>
      </c>
      <c r="E112" s="1" t="s">
        <v>53</v>
      </c>
      <c r="F112" s="1" t="s">
        <v>28</v>
      </c>
      <c r="G112">
        <v>4455.5200000000004</v>
      </c>
      <c r="H112">
        <v>8</v>
      </c>
      <c r="I112">
        <v>0</v>
      </c>
      <c r="J112">
        <v>568.05999999999995</v>
      </c>
      <c r="K112" t="str">
        <f>_xlfn.XLOOKUP(Order_ID_Order[[#This Row],[Region]],'Analysis Dashboard'!O$2:O$5,'Analysis Dashboard'!P$2:P$5)</f>
        <v>Rahul Verma</v>
      </c>
      <c r="L112" t="str">
        <f t="shared" si="1"/>
        <v>0-10%</v>
      </c>
    </row>
    <row r="113" spans="1:12" x14ac:dyDescent="0.25">
      <c r="A113" s="1" t="s">
        <v>163</v>
      </c>
      <c r="B113" s="2">
        <v>45332</v>
      </c>
      <c r="C113" s="1" t="s">
        <v>34</v>
      </c>
      <c r="D113" s="1" t="s">
        <v>18</v>
      </c>
      <c r="E113" s="1" t="s">
        <v>95</v>
      </c>
      <c r="F113" s="1" t="s">
        <v>58</v>
      </c>
      <c r="G113">
        <v>1776.41</v>
      </c>
      <c r="H113">
        <v>7</v>
      </c>
      <c r="I113">
        <v>0.05</v>
      </c>
      <c r="J113">
        <v>551.84</v>
      </c>
      <c r="K113" t="str">
        <f>_xlfn.XLOOKUP(Order_ID_Order[[#This Row],[Region]],'Analysis Dashboard'!O$2:O$5,'Analysis Dashboard'!P$2:P$5)</f>
        <v>Neha Singh</v>
      </c>
      <c r="L113" t="str">
        <f t="shared" si="1"/>
        <v>0-10%</v>
      </c>
    </row>
    <row r="114" spans="1:12" x14ac:dyDescent="0.25">
      <c r="A114" s="1" t="s">
        <v>164</v>
      </c>
      <c r="B114" s="2">
        <v>45726</v>
      </c>
      <c r="C114" s="1" t="s">
        <v>62</v>
      </c>
      <c r="D114" s="1" t="s">
        <v>18</v>
      </c>
      <c r="E114" s="1" t="s">
        <v>19</v>
      </c>
      <c r="F114" s="1" t="s">
        <v>56</v>
      </c>
      <c r="G114">
        <v>8966.94</v>
      </c>
      <c r="H114">
        <v>8</v>
      </c>
      <c r="I114">
        <v>0.05</v>
      </c>
      <c r="J114">
        <v>2913.9</v>
      </c>
      <c r="K114" t="str">
        <f>_xlfn.XLOOKUP(Order_ID_Order[[#This Row],[Region]],'Analysis Dashboard'!O$2:O$5,'Analysis Dashboard'!P$2:P$5)</f>
        <v>Priya Sharma</v>
      </c>
      <c r="L114" t="str">
        <f t="shared" si="1"/>
        <v>0-10%</v>
      </c>
    </row>
    <row r="115" spans="1:12" x14ac:dyDescent="0.25">
      <c r="A115" s="1" t="s">
        <v>165</v>
      </c>
      <c r="B115" s="2">
        <v>45524</v>
      </c>
      <c r="C115" s="1" t="s">
        <v>122</v>
      </c>
      <c r="D115" s="1" t="s">
        <v>26</v>
      </c>
      <c r="E115" s="1" t="s">
        <v>27</v>
      </c>
      <c r="F115" s="1" t="s">
        <v>85</v>
      </c>
      <c r="G115">
        <v>1551.56</v>
      </c>
      <c r="H115">
        <v>4</v>
      </c>
      <c r="I115">
        <v>0</v>
      </c>
      <c r="J115">
        <v>198.43</v>
      </c>
      <c r="K115" t="str">
        <f>_xlfn.XLOOKUP(Order_ID_Order[[#This Row],[Region]],'Analysis Dashboard'!O$2:O$5,'Analysis Dashboard'!P$2:P$5)</f>
        <v>Ankit Gupta</v>
      </c>
      <c r="L115" t="str">
        <f t="shared" si="1"/>
        <v>0-10%</v>
      </c>
    </row>
    <row r="116" spans="1:12" x14ac:dyDescent="0.25">
      <c r="A116" s="1" t="s">
        <v>166</v>
      </c>
      <c r="B116" s="2">
        <v>45639</v>
      </c>
      <c r="C116" s="1" t="s">
        <v>34</v>
      </c>
      <c r="D116" s="1" t="s">
        <v>22</v>
      </c>
      <c r="E116" s="1" t="s">
        <v>15</v>
      </c>
      <c r="F116" s="1" t="s">
        <v>30</v>
      </c>
      <c r="G116">
        <v>127.35</v>
      </c>
      <c r="H116">
        <v>2</v>
      </c>
      <c r="I116">
        <v>0.1</v>
      </c>
      <c r="J116">
        <v>17.149999999999999</v>
      </c>
      <c r="K116" t="str">
        <f>_xlfn.XLOOKUP(Order_ID_Order[[#This Row],[Region]],'Analysis Dashboard'!O$2:O$5,'Analysis Dashboard'!P$2:P$5)</f>
        <v>Neha Singh</v>
      </c>
      <c r="L116" t="str">
        <f t="shared" si="1"/>
        <v>0-10%</v>
      </c>
    </row>
    <row r="117" spans="1:12" x14ac:dyDescent="0.25">
      <c r="A117" s="1" t="s">
        <v>167</v>
      </c>
      <c r="B117" s="2">
        <v>45424</v>
      </c>
      <c r="C117" s="1" t="s">
        <v>62</v>
      </c>
      <c r="D117" s="1" t="s">
        <v>18</v>
      </c>
      <c r="E117" s="1" t="s">
        <v>43</v>
      </c>
      <c r="F117" s="1" t="s">
        <v>82</v>
      </c>
      <c r="G117">
        <v>3603.66</v>
      </c>
      <c r="H117">
        <v>7</v>
      </c>
      <c r="I117">
        <v>0.2</v>
      </c>
      <c r="J117">
        <v>370.61</v>
      </c>
      <c r="K117" t="str">
        <f>_xlfn.XLOOKUP(Order_ID_Order[[#This Row],[Region]],'Analysis Dashboard'!O$2:O$5,'Analysis Dashboard'!P$2:P$5)</f>
        <v>Priya Sharma</v>
      </c>
      <c r="L117" t="str">
        <f t="shared" si="1"/>
        <v>11-20%</v>
      </c>
    </row>
    <row r="118" spans="1:12" x14ac:dyDescent="0.25">
      <c r="A118" s="1" t="s">
        <v>168</v>
      </c>
      <c r="B118" s="2">
        <v>45420</v>
      </c>
      <c r="C118" s="1" t="s">
        <v>11</v>
      </c>
      <c r="D118" s="1" t="s">
        <v>26</v>
      </c>
      <c r="E118" s="1" t="s">
        <v>66</v>
      </c>
      <c r="F118" s="1" t="s">
        <v>128</v>
      </c>
      <c r="G118">
        <v>3556.22</v>
      </c>
      <c r="H118">
        <v>7</v>
      </c>
      <c r="I118">
        <v>0.05</v>
      </c>
      <c r="J118">
        <v>235.14</v>
      </c>
      <c r="K118" t="str">
        <f>_xlfn.XLOOKUP(Order_ID_Order[[#This Row],[Region]],'Analysis Dashboard'!O$2:O$5,'Analysis Dashboard'!P$2:P$5)</f>
        <v>Rahul Verma</v>
      </c>
      <c r="L118" t="str">
        <f t="shared" si="1"/>
        <v>0-10%</v>
      </c>
    </row>
    <row r="119" spans="1:12" x14ac:dyDescent="0.25">
      <c r="A119" s="1" t="s">
        <v>169</v>
      </c>
      <c r="B119" s="2">
        <v>45937</v>
      </c>
      <c r="C119" s="1" t="s">
        <v>34</v>
      </c>
      <c r="D119" s="1" t="s">
        <v>22</v>
      </c>
      <c r="E119" s="1" t="s">
        <v>48</v>
      </c>
      <c r="F119" s="1" t="s">
        <v>49</v>
      </c>
      <c r="G119">
        <v>709.82</v>
      </c>
      <c r="H119">
        <v>9</v>
      </c>
      <c r="I119">
        <v>0.3</v>
      </c>
      <c r="J119">
        <v>-96.13</v>
      </c>
      <c r="K119" t="str">
        <f>_xlfn.XLOOKUP(Order_ID_Order[[#This Row],[Region]],'Analysis Dashboard'!O$2:O$5,'Analysis Dashboard'!P$2:P$5)</f>
        <v>Neha Singh</v>
      </c>
      <c r="L119" t="str">
        <f t="shared" si="1"/>
        <v>21-30%</v>
      </c>
    </row>
    <row r="120" spans="1:12" x14ac:dyDescent="0.25">
      <c r="A120" s="1" t="s">
        <v>170</v>
      </c>
      <c r="B120" s="2">
        <v>45678</v>
      </c>
      <c r="C120" s="1" t="s">
        <v>122</v>
      </c>
      <c r="D120" s="1" t="s">
        <v>26</v>
      </c>
      <c r="E120" s="1" t="s">
        <v>66</v>
      </c>
      <c r="F120" s="1" t="s">
        <v>128</v>
      </c>
      <c r="G120">
        <v>1623.76</v>
      </c>
      <c r="H120">
        <v>8</v>
      </c>
      <c r="I120">
        <v>0.5</v>
      </c>
      <c r="J120">
        <v>-931.33</v>
      </c>
      <c r="K120" t="str">
        <f>_xlfn.XLOOKUP(Order_ID_Order[[#This Row],[Region]],'Analysis Dashboard'!O$2:O$5,'Analysis Dashboard'!P$2:P$5)</f>
        <v>Ankit Gupta</v>
      </c>
      <c r="L120" t="str">
        <f t="shared" si="1"/>
        <v>31-40%</v>
      </c>
    </row>
    <row r="121" spans="1:12" x14ac:dyDescent="0.25">
      <c r="A121" s="1" t="s">
        <v>171</v>
      </c>
      <c r="B121" s="2">
        <v>45609</v>
      </c>
      <c r="C121" s="1" t="s">
        <v>11</v>
      </c>
      <c r="D121" s="1" t="s">
        <v>22</v>
      </c>
      <c r="E121" s="1" t="s">
        <v>15</v>
      </c>
      <c r="F121" s="1" t="s">
        <v>24</v>
      </c>
      <c r="G121">
        <v>574.78</v>
      </c>
      <c r="H121">
        <v>9</v>
      </c>
      <c r="I121">
        <v>0.1</v>
      </c>
      <c r="J121">
        <v>69.489999999999995</v>
      </c>
      <c r="K121" t="str">
        <f>_xlfn.XLOOKUP(Order_ID_Order[[#This Row],[Region]],'Analysis Dashboard'!O$2:O$5,'Analysis Dashboard'!P$2:P$5)</f>
        <v>Rahul Verma</v>
      </c>
      <c r="L121" t="str">
        <f t="shared" si="1"/>
        <v>0-10%</v>
      </c>
    </row>
    <row r="122" spans="1:12" x14ac:dyDescent="0.25">
      <c r="A122" s="1" t="s">
        <v>172</v>
      </c>
      <c r="B122" s="2">
        <v>45879</v>
      </c>
      <c r="C122" s="1" t="s">
        <v>62</v>
      </c>
      <c r="D122" s="1" t="s">
        <v>22</v>
      </c>
      <c r="E122" s="1" t="s">
        <v>35</v>
      </c>
      <c r="F122" s="1" t="s">
        <v>64</v>
      </c>
      <c r="G122">
        <v>128.72</v>
      </c>
      <c r="H122">
        <v>4</v>
      </c>
      <c r="I122">
        <v>0.15</v>
      </c>
      <c r="J122">
        <v>5.38</v>
      </c>
      <c r="K122" t="str">
        <f>_xlfn.XLOOKUP(Order_ID_Order[[#This Row],[Region]],'Analysis Dashboard'!O$2:O$5,'Analysis Dashboard'!P$2:P$5)</f>
        <v>Priya Sharma</v>
      </c>
      <c r="L122" t="str">
        <f t="shared" si="1"/>
        <v>11-20%</v>
      </c>
    </row>
    <row r="123" spans="1:12" x14ac:dyDescent="0.25">
      <c r="A123" s="1" t="s">
        <v>173</v>
      </c>
      <c r="B123" s="2">
        <v>45794</v>
      </c>
      <c r="C123" s="1" t="s">
        <v>11</v>
      </c>
      <c r="D123" s="1" t="s">
        <v>18</v>
      </c>
      <c r="E123" s="1" t="s">
        <v>81</v>
      </c>
      <c r="F123" s="1" t="s">
        <v>82</v>
      </c>
      <c r="G123">
        <v>3266.96</v>
      </c>
      <c r="H123">
        <v>4</v>
      </c>
      <c r="I123">
        <v>0.3</v>
      </c>
      <c r="J123">
        <v>-92.15</v>
      </c>
      <c r="K123" t="str">
        <f>_xlfn.XLOOKUP(Order_ID_Order[[#This Row],[Region]],'Analysis Dashboard'!O$2:O$5,'Analysis Dashboard'!P$2:P$5)</f>
        <v>Rahul Verma</v>
      </c>
      <c r="L123" t="str">
        <f t="shared" si="1"/>
        <v>21-30%</v>
      </c>
    </row>
    <row r="124" spans="1:12" x14ac:dyDescent="0.25">
      <c r="A124" s="1" t="s">
        <v>31</v>
      </c>
      <c r="B124" s="2">
        <v>45522</v>
      </c>
      <c r="C124" s="1" t="s">
        <v>122</v>
      </c>
      <c r="D124" s="1" t="s">
        <v>18</v>
      </c>
      <c r="E124" s="1" t="s">
        <v>19</v>
      </c>
      <c r="F124" s="1" t="s">
        <v>32</v>
      </c>
      <c r="G124">
        <v>9796.31</v>
      </c>
      <c r="H124">
        <v>10</v>
      </c>
      <c r="I124">
        <v>0.05</v>
      </c>
      <c r="J124">
        <v>2958.9</v>
      </c>
      <c r="K124" t="str">
        <f>_xlfn.XLOOKUP(Order_ID_Order[[#This Row],[Region]],'Analysis Dashboard'!O$2:O$5,'Analysis Dashboard'!P$2:P$5)</f>
        <v>Ankit Gupta</v>
      </c>
      <c r="L124" t="str">
        <f t="shared" si="1"/>
        <v>0-10%</v>
      </c>
    </row>
    <row r="125" spans="1:12" x14ac:dyDescent="0.25">
      <c r="A125" s="1" t="s">
        <v>174</v>
      </c>
      <c r="B125" s="2">
        <v>46016</v>
      </c>
      <c r="C125" s="1" t="s">
        <v>11</v>
      </c>
      <c r="D125" s="1" t="s">
        <v>18</v>
      </c>
      <c r="E125" s="1" t="s">
        <v>81</v>
      </c>
      <c r="F125" s="1" t="s">
        <v>37</v>
      </c>
      <c r="G125">
        <v>2332.77</v>
      </c>
      <c r="H125">
        <v>3</v>
      </c>
      <c r="I125">
        <v>0</v>
      </c>
      <c r="J125">
        <v>844.52</v>
      </c>
      <c r="K125" t="str">
        <f>_xlfn.XLOOKUP(Order_ID_Order[[#This Row],[Region]],'Analysis Dashboard'!O$2:O$5,'Analysis Dashboard'!P$2:P$5)</f>
        <v>Rahul Verma</v>
      </c>
      <c r="L125" t="str">
        <f t="shared" si="1"/>
        <v>0-10%</v>
      </c>
    </row>
    <row r="126" spans="1:12" x14ac:dyDescent="0.25">
      <c r="A126" s="1" t="s">
        <v>175</v>
      </c>
      <c r="B126" s="2">
        <v>45730</v>
      </c>
      <c r="C126" s="1" t="s">
        <v>34</v>
      </c>
      <c r="D126" s="1" t="s">
        <v>22</v>
      </c>
      <c r="E126" s="1" t="s">
        <v>48</v>
      </c>
      <c r="F126" s="1" t="s">
        <v>16</v>
      </c>
      <c r="G126">
        <v>12.74</v>
      </c>
      <c r="H126">
        <v>1</v>
      </c>
      <c r="I126">
        <v>0.15</v>
      </c>
      <c r="J126">
        <v>0.86</v>
      </c>
      <c r="K126" t="str">
        <f>_xlfn.XLOOKUP(Order_ID_Order[[#This Row],[Region]],'Analysis Dashboard'!O$2:O$5,'Analysis Dashboard'!P$2:P$5)</f>
        <v>Neha Singh</v>
      </c>
      <c r="L126" t="str">
        <f t="shared" si="1"/>
        <v>11-20%</v>
      </c>
    </row>
    <row r="127" spans="1:12" x14ac:dyDescent="0.25">
      <c r="A127" s="1" t="s">
        <v>176</v>
      </c>
      <c r="B127" s="2">
        <v>45766</v>
      </c>
      <c r="C127" s="1" t="s">
        <v>11</v>
      </c>
      <c r="D127" s="1" t="s">
        <v>22</v>
      </c>
      <c r="E127" s="1" t="s">
        <v>35</v>
      </c>
      <c r="F127" s="1" t="s">
        <v>71</v>
      </c>
      <c r="G127">
        <v>26.14</v>
      </c>
      <c r="H127">
        <v>2</v>
      </c>
      <c r="I127">
        <v>0.5</v>
      </c>
      <c r="J127">
        <v>-10.88</v>
      </c>
      <c r="K127" t="str">
        <f>_xlfn.XLOOKUP(Order_ID_Order[[#This Row],[Region]],'Analysis Dashboard'!O$2:O$5,'Analysis Dashboard'!P$2:P$5)</f>
        <v>Rahul Verma</v>
      </c>
      <c r="L127" t="str">
        <f t="shared" si="1"/>
        <v>31-40%</v>
      </c>
    </row>
    <row r="128" spans="1:12" x14ac:dyDescent="0.25">
      <c r="A128" s="1" t="s">
        <v>177</v>
      </c>
      <c r="B128" s="2">
        <v>45842</v>
      </c>
      <c r="C128" s="1" t="s">
        <v>122</v>
      </c>
      <c r="D128" s="1" t="s">
        <v>26</v>
      </c>
      <c r="E128" s="1" t="s">
        <v>53</v>
      </c>
      <c r="F128" s="1" t="s">
        <v>128</v>
      </c>
      <c r="G128">
        <v>1237.25</v>
      </c>
      <c r="H128">
        <v>3</v>
      </c>
      <c r="I128">
        <v>0.1</v>
      </c>
      <c r="J128">
        <v>-38.22</v>
      </c>
      <c r="K128" t="str">
        <f>_xlfn.XLOOKUP(Order_ID_Order[[#This Row],[Region]],'Analysis Dashboard'!O$2:O$5,'Analysis Dashboard'!P$2:P$5)</f>
        <v>Ankit Gupta</v>
      </c>
      <c r="L128" t="str">
        <f t="shared" si="1"/>
        <v>0-10%</v>
      </c>
    </row>
    <row r="129" spans="1:12" x14ac:dyDescent="0.25">
      <c r="A129" s="1" t="s">
        <v>178</v>
      </c>
      <c r="B129" s="2">
        <v>46002</v>
      </c>
      <c r="C129" s="1" t="s">
        <v>11</v>
      </c>
      <c r="D129" s="1" t="s">
        <v>22</v>
      </c>
      <c r="E129" s="1" t="s">
        <v>35</v>
      </c>
      <c r="F129" s="1" t="s">
        <v>16</v>
      </c>
      <c r="G129">
        <v>266.3</v>
      </c>
      <c r="H129">
        <v>6</v>
      </c>
      <c r="I129">
        <v>0.2</v>
      </c>
      <c r="J129">
        <v>-0.26</v>
      </c>
      <c r="K129" t="str">
        <f>_xlfn.XLOOKUP(Order_ID_Order[[#This Row],[Region]],'Analysis Dashboard'!O$2:O$5,'Analysis Dashboard'!P$2:P$5)</f>
        <v>Rahul Verma</v>
      </c>
      <c r="L129" t="str">
        <f t="shared" si="1"/>
        <v>11-20%</v>
      </c>
    </row>
    <row r="130" spans="1:12" x14ac:dyDescent="0.25">
      <c r="A130" s="1" t="s">
        <v>179</v>
      </c>
      <c r="B130" s="2">
        <v>45629</v>
      </c>
      <c r="C130" s="1" t="s">
        <v>122</v>
      </c>
      <c r="D130" s="1" t="s">
        <v>18</v>
      </c>
      <c r="E130" s="1" t="s">
        <v>95</v>
      </c>
      <c r="F130" s="1" t="s">
        <v>37</v>
      </c>
      <c r="G130">
        <v>708.64</v>
      </c>
      <c r="H130">
        <v>4</v>
      </c>
      <c r="I130">
        <v>0</v>
      </c>
      <c r="J130">
        <v>283.44</v>
      </c>
      <c r="K130" t="str">
        <f>_xlfn.XLOOKUP(Order_ID_Order[[#This Row],[Region]],'Analysis Dashboard'!O$2:O$5,'Analysis Dashboard'!P$2:P$5)</f>
        <v>Ankit Gupta</v>
      </c>
      <c r="L130" t="str">
        <f t="shared" ref="L130:L193" si="2">IF(I130&lt;=0.1,"0-10%",IF(I130&lt;=0.2,"11-20%",IF(I130&lt;=0.3,"21-30%","31-40%")))</f>
        <v>0-10%</v>
      </c>
    </row>
    <row r="131" spans="1:12" x14ac:dyDescent="0.25">
      <c r="A131" s="1" t="s">
        <v>180</v>
      </c>
      <c r="B131" s="2">
        <v>45395</v>
      </c>
      <c r="C131" s="1" t="s">
        <v>34</v>
      </c>
      <c r="D131" s="1" t="s">
        <v>22</v>
      </c>
      <c r="E131" s="1" t="s">
        <v>15</v>
      </c>
      <c r="F131" s="1" t="s">
        <v>24</v>
      </c>
      <c r="G131">
        <v>582.79999999999995</v>
      </c>
      <c r="H131">
        <v>10</v>
      </c>
      <c r="I131">
        <v>0.5</v>
      </c>
      <c r="J131">
        <v>-257.92</v>
      </c>
      <c r="K131" t="str">
        <f>_xlfn.XLOOKUP(Order_ID_Order[[#This Row],[Region]],'Analysis Dashboard'!O$2:O$5,'Analysis Dashboard'!P$2:P$5)</f>
        <v>Neha Singh</v>
      </c>
      <c r="L131" t="str">
        <f t="shared" si="2"/>
        <v>31-40%</v>
      </c>
    </row>
    <row r="132" spans="1:12" x14ac:dyDescent="0.25">
      <c r="A132" s="1" t="s">
        <v>181</v>
      </c>
      <c r="B132" s="2">
        <v>45744</v>
      </c>
      <c r="C132" s="1" t="s">
        <v>62</v>
      </c>
      <c r="D132" s="1" t="s">
        <v>26</v>
      </c>
      <c r="E132" s="1" t="s">
        <v>53</v>
      </c>
      <c r="F132" s="1" t="s">
        <v>115</v>
      </c>
      <c r="G132">
        <v>809.38</v>
      </c>
      <c r="H132">
        <v>3</v>
      </c>
      <c r="I132">
        <v>0.3</v>
      </c>
      <c r="J132">
        <v>-225.66</v>
      </c>
      <c r="K132" t="str">
        <f>_xlfn.XLOOKUP(Order_ID_Order[[#This Row],[Region]],'Analysis Dashboard'!O$2:O$5,'Analysis Dashboard'!P$2:P$5)</f>
        <v>Priya Sharma</v>
      </c>
      <c r="L132" t="str">
        <f t="shared" si="2"/>
        <v>21-30%</v>
      </c>
    </row>
    <row r="133" spans="1:12" x14ac:dyDescent="0.25">
      <c r="A133" s="1" t="s">
        <v>182</v>
      </c>
      <c r="B133" s="2">
        <v>45664</v>
      </c>
      <c r="C133" s="1" t="s">
        <v>62</v>
      </c>
      <c r="D133" s="1" t="s">
        <v>22</v>
      </c>
      <c r="E133" s="1" t="s">
        <v>23</v>
      </c>
      <c r="F133" s="1" t="s">
        <v>39</v>
      </c>
      <c r="G133">
        <v>226.18</v>
      </c>
      <c r="H133">
        <v>7</v>
      </c>
      <c r="I133">
        <v>0.2</v>
      </c>
      <c r="J133">
        <v>-0.59</v>
      </c>
      <c r="K133" t="str">
        <f>_xlfn.XLOOKUP(Order_ID_Order[[#This Row],[Region]],'Analysis Dashboard'!O$2:O$5,'Analysis Dashboard'!P$2:P$5)</f>
        <v>Priya Sharma</v>
      </c>
      <c r="L133" t="str">
        <f t="shared" si="2"/>
        <v>11-20%</v>
      </c>
    </row>
    <row r="134" spans="1:12" x14ac:dyDescent="0.25">
      <c r="A134" s="1" t="s">
        <v>183</v>
      </c>
      <c r="B134" s="2">
        <v>45562</v>
      </c>
      <c r="C134" s="1" t="s">
        <v>34</v>
      </c>
      <c r="D134" s="1" t="s">
        <v>26</v>
      </c>
      <c r="E134" s="1" t="s">
        <v>66</v>
      </c>
      <c r="F134" s="1" t="s">
        <v>28</v>
      </c>
      <c r="G134">
        <v>3494.37</v>
      </c>
      <c r="H134">
        <v>9</v>
      </c>
      <c r="I134">
        <v>0.15</v>
      </c>
      <c r="J134">
        <v>-221.12</v>
      </c>
      <c r="K134" t="str">
        <f>_xlfn.XLOOKUP(Order_ID_Order[[#This Row],[Region]],'Analysis Dashboard'!O$2:O$5,'Analysis Dashboard'!P$2:P$5)</f>
        <v>Neha Singh</v>
      </c>
      <c r="L134" t="str">
        <f t="shared" si="2"/>
        <v>11-20%</v>
      </c>
    </row>
    <row r="135" spans="1:12" x14ac:dyDescent="0.25">
      <c r="A135" s="1" t="s">
        <v>184</v>
      </c>
      <c r="B135" s="2">
        <v>45733</v>
      </c>
      <c r="C135" s="1" t="s">
        <v>62</v>
      </c>
      <c r="D135" s="1" t="s">
        <v>22</v>
      </c>
      <c r="E135" s="1" t="s">
        <v>48</v>
      </c>
      <c r="F135" s="1" t="s">
        <v>39</v>
      </c>
      <c r="G135">
        <v>306.35000000000002</v>
      </c>
      <c r="H135">
        <v>9</v>
      </c>
      <c r="I135">
        <v>0.05</v>
      </c>
      <c r="J135">
        <v>54.54</v>
      </c>
      <c r="K135" t="str">
        <f>_xlfn.XLOOKUP(Order_ID_Order[[#This Row],[Region]],'Analysis Dashboard'!O$2:O$5,'Analysis Dashboard'!P$2:P$5)</f>
        <v>Priya Sharma</v>
      </c>
      <c r="L135" t="str">
        <f t="shared" si="2"/>
        <v>0-10%</v>
      </c>
    </row>
    <row r="136" spans="1:12" x14ac:dyDescent="0.25">
      <c r="A136" s="1" t="s">
        <v>185</v>
      </c>
      <c r="B136" s="2">
        <v>45580</v>
      </c>
      <c r="C136" s="1" t="s">
        <v>122</v>
      </c>
      <c r="D136" s="1" t="s">
        <v>18</v>
      </c>
      <c r="E136" s="1" t="s">
        <v>43</v>
      </c>
      <c r="F136" s="1" t="s">
        <v>82</v>
      </c>
      <c r="G136">
        <v>4255.5200000000004</v>
      </c>
      <c r="H136">
        <v>7</v>
      </c>
      <c r="I136">
        <v>0.4</v>
      </c>
      <c r="J136">
        <v>-753.38</v>
      </c>
      <c r="K136" t="str">
        <f>_xlfn.XLOOKUP(Order_ID_Order[[#This Row],[Region]],'Analysis Dashboard'!O$2:O$5,'Analysis Dashboard'!P$2:P$5)</f>
        <v>Ankit Gupta</v>
      </c>
      <c r="L136" t="str">
        <f t="shared" si="2"/>
        <v>31-40%</v>
      </c>
    </row>
    <row r="137" spans="1:12" x14ac:dyDescent="0.25">
      <c r="A137" s="1" t="s">
        <v>186</v>
      </c>
      <c r="B137" s="2">
        <v>45990</v>
      </c>
      <c r="C137" s="1" t="s">
        <v>11</v>
      </c>
      <c r="D137" s="1" t="s">
        <v>22</v>
      </c>
      <c r="E137" s="1" t="s">
        <v>35</v>
      </c>
      <c r="F137" s="1" t="s">
        <v>60</v>
      </c>
      <c r="G137">
        <v>579.69000000000005</v>
      </c>
      <c r="H137">
        <v>5</v>
      </c>
      <c r="I137">
        <v>0.1</v>
      </c>
      <c r="J137">
        <v>69.8</v>
      </c>
      <c r="K137" t="str">
        <f>_xlfn.XLOOKUP(Order_ID_Order[[#This Row],[Region]],'Analysis Dashboard'!O$2:O$5,'Analysis Dashboard'!P$2:P$5)</f>
        <v>Rahul Verma</v>
      </c>
      <c r="L137" t="str">
        <f t="shared" si="2"/>
        <v>0-10%</v>
      </c>
    </row>
    <row r="138" spans="1:12" x14ac:dyDescent="0.25">
      <c r="A138" s="1" t="s">
        <v>187</v>
      </c>
      <c r="B138" s="2">
        <v>45975</v>
      </c>
      <c r="C138" s="1" t="s">
        <v>11</v>
      </c>
      <c r="D138" s="1" t="s">
        <v>22</v>
      </c>
      <c r="E138" s="1" t="s">
        <v>48</v>
      </c>
      <c r="F138" s="1" t="s">
        <v>49</v>
      </c>
      <c r="G138">
        <v>319.25</v>
      </c>
      <c r="H138">
        <v>6</v>
      </c>
      <c r="I138">
        <v>0.4</v>
      </c>
      <c r="J138">
        <v>-88.7</v>
      </c>
      <c r="K138" t="str">
        <f>_xlfn.XLOOKUP(Order_ID_Order[[#This Row],[Region]],'Analysis Dashboard'!O$2:O$5,'Analysis Dashboard'!P$2:P$5)</f>
        <v>Rahul Verma</v>
      </c>
      <c r="L138" t="str">
        <f t="shared" si="2"/>
        <v>31-40%</v>
      </c>
    </row>
    <row r="139" spans="1:12" x14ac:dyDescent="0.25">
      <c r="A139" s="1" t="s">
        <v>188</v>
      </c>
      <c r="B139" s="2">
        <v>45904</v>
      </c>
      <c r="C139" s="1" t="s">
        <v>11</v>
      </c>
      <c r="D139" s="1" t="s">
        <v>26</v>
      </c>
      <c r="E139" s="1" t="s">
        <v>12</v>
      </c>
      <c r="F139" s="1" t="s">
        <v>189</v>
      </c>
      <c r="G139">
        <v>3785.16</v>
      </c>
      <c r="H139">
        <v>6</v>
      </c>
      <c r="I139">
        <v>0</v>
      </c>
      <c r="J139">
        <v>441.33</v>
      </c>
      <c r="K139" t="str">
        <f>_xlfn.XLOOKUP(Order_ID_Order[[#This Row],[Region]],'Analysis Dashboard'!O$2:O$5,'Analysis Dashboard'!P$2:P$5)</f>
        <v>Rahul Verma</v>
      </c>
      <c r="L139" t="str">
        <f t="shared" si="2"/>
        <v>0-10%</v>
      </c>
    </row>
    <row r="140" spans="1:12" x14ac:dyDescent="0.25">
      <c r="A140" s="1" t="s">
        <v>190</v>
      </c>
      <c r="B140" s="2">
        <v>45753</v>
      </c>
      <c r="C140" s="1" t="s">
        <v>62</v>
      </c>
      <c r="D140" s="1" t="s">
        <v>26</v>
      </c>
      <c r="E140" s="1" t="s">
        <v>27</v>
      </c>
      <c r="F140" s="1" t="s">
        <v>85</v>
      </c>
      <c r="G140">
        <v>402.56</v>
      </c>
      <c r="H140">
        <v>1</v>
      </c>
      <c r="I140">
        <v>0.05</v>
      </c>
      <c r="J140">
        <v>13.32</v>
      </c>
      <c r="K140" t="str">
        <f>_xlfn.XLOOKUP(Order_ID_Order[[#This Row],[Region]],'Analysis Dashboard'!O$2:O$5,'Analysis Dashboard'!P$2:P$5)</f>
        <v>Priya Sharma</v>
      </c>
      <c r="L140" t="str">
        <f t="shared" si="2"/>
        <v>0-10%</v>
      </c>
    </row>
    <row r="141" spans="1:12" x14ac:dyDescent="0.25">
      <c r="A141" s="1" t="s">
        <v>191</v>
      </c>
      <c r="B141" s="2">
        <v>45865</v>
      </c>
      <c r="C141" s="1" t="s">
        <v>34</v>
      </c>
      <c r="D141" s="1" t="s">
        <v>22</v>
      </c>
      <c r="E141" s="1" t="s">
        <v>35</v>
      </c>
      <c r="F141" s="1" t="s">
        <v>39</v>
      </c>
      <c r="G141">
        <v>283.70999999999998</v>
      </c>
      <c r="H141">
        <v>7</v>
      </c>
      <c r="I141">
        <v>0.5</v>
      </c>
      <c r="J141">
        <v>-122.14</v>
      </c>
      <c r="K141" t="str">
        <f>_xlfn.XLOOKUP(Order_ID_Order[[#This Row],[Region]],'Analysis Dashboard'!O$2:O$5,'Analysis Dashboard'!P$2:P$5)</f>
        <v>Neha Singh</v>
      </c>
      <c r="L141" t="str">
        <f t="shared" si="2"/>
        <v>31-40%</v>
      </c>
    </row>
    <row r="142" spans="1:12" x14ac:dyDescent="0.25">
      <c r="A142" s="1" t="s">
        <v>192</v>
      </c>
      <c r="B142" s="2">
        <v>45323</v>
      </c>
      <c r="C142" s="1" t="s">
        <v>34</v>
      </c>
      <c r="D142" s="1" t="s">
        <v>26</v>
      </c>
      <c r="E142" s="1" t="s">
        <v>27</v>
      </c>
      <c r="F142" s="1" t="s">
        <v>13</v>
      </c>
      <c r="G142">
        <v>2342.65</v>
      </c>
      <c r="H142">
        <v>9</v>
      </c>
      <c r="I142">
        <v>0.3</v>
      </c>
      <c r="J142">
        <v>-693.85</v>
      </c>
      <c r="K142" t="str">
        <f>_xlfn.XLOOKUP(Order_ID_Order[[#This Row],[Region]],'Analysis Dashboard'!O$2:O$5,'Analysis Dashboard'!P$2:P$5)</f>
        <v>Neha Singh</v>
      </c>
      <c r="L142" t="str">
        <f t="shared" si="2"/>
        <v>21-30%</v>
      </c>
    </row>
    <row r="143" spans="1:12" x14ac:dyDescent="0.25">
      <c r="A143" s="1" t="s">
        <v>193</v>
      </c>
      <c r="B143" s="2">
        <v>45571</v>
      </c>
      <c r="C143" s="1" t="s">
        <v>122</v>
      </c>
      <c r="D143" s="1" t="s">
        <v>22</v>
      </c>
      <c r="E143" s="1" t="s">
        <v>23</v>
      </c>
      <c r="F143" s="1" t="s">
        <v>64</v>
      </c>
      <c r="G143">
        <v>18.09</v>
      </c>
      <c r="H143">
        <v>1</v>
      </c>
      <c r="I143">
        <v>0.15</v>
      </c>
      <c r="J143">
        <v>0.84</v>
      </c>
      <c r="K143" t="str">
        <f>_xlfn.XLOOKUP(Order_ID_Order[[#This Row],[Region]],'Analysis Dashboard'!O$2:O$5,'Analysis Dashboard'!P$2:P$5)</f>
        <v>Ankit Gupta</v>
      </c>
      <c r="L143" t="str">
        <f t="shared" si="2"/>
        <v>11-20%</v>
      </c>
    </row>
    <row r="144" spans="1:12" x14ac:dyDescent="0.25">
      <c r="A144" s="1" t="s">
        <v>194</v>
      </c>
      <c r="B144" s="2">
        <v>45767</v>
      </c>
      <c r="C144" s="1" t="s">
        <v>11</v>
      </c>
      <c r="D144" s="1" t="s">
        <v>22</v>
      </c>
      <c r="E144" s="1" t="s">
        <v>23</v>
      </c>
      <c r="F144" s="1" t="s">
        <v>71</v>
      </c>
      <c r="G144">
        <v>208.85</v>
      </c>
      <c r="H144">
        <v>4</v>
      </c>
      <c r="I144">
        <v>0.3</v>
      </c>
      <c r="J144">
        <v>-33.72</v>
      </c>
      <c r="K144" t="str">
        <f>_xlfn.XLOOKUP(Order_ID_Order[[#This Row],[Region]],'Analysis Dashboard'!O$2:O$5,'Analysis Dashboard'!P$2:P$5)</f>
        <v>Rahul Verma</v>
      </c>
      <c r="L144" t="str">
        <f t="shared" si="2"/>
        <v>21-30%</v>
      </c>
    </row>
    <row r="145" spans="1:12" x14ac:dyDescent="0.25">
      <c r="A145" s="1" t="s">
        <v>195</v>
      </c>
      <c r="B145" s="2">
        <v>45755</v>
      </c>
      <c r="C145" s="1" t="s">
        <v>11</v>
      </c>
      <c r="D145" s="1" t="s">
        <v>18</v>
      </c>
      <c r="E145" s="1" t="s">
        <v>19</v>
      </c>
      <c r="F145" s="1" t="s">
        <v>58</v>
      </c>
      <c r="G145">
        <v>1041.05</v>
      </c>
      <c r="H145">
        <v>5</v>
      </c>
      <c r="I145">
        <v>0</v>
      </c>
      <c r="J145">
        <v>380.06</v>
      </c>
      <c r="K145" t="str">
        <f>_xlfn.XLOOKUP(Order_ID_Order[[#This Row],[Region]],'Analysis Dashboard'!O$2:O$5,'Analysis Dashboard'!P$2:P$5)</f>
        <v>Rahul Verma</v>
      </c>
      <c r="L145" t="str">
        <f t="shared" si="2"/>
        <v>0-10%</v>
      </c>
    </row>
    <row r="146" spans="1:12" x14ac:dyDescent="0.25">
      <c r="A146" s="1" t="s">
        <v>196</v>
      </c>
      <c r="B146" s="2">
        <v>45589</v>
      </c>
      <c r="C146" s="1" t="s">
        <v>11</v>
      </c>
      <c r="D146" s="1" t="s">
        <v>22</v>
      </c>
      <c r="E146" s="1" t="s">
        <v>76</v>
      </c>
      <c r="F146" s="1" t="s">
        <v>64</v>
      </c>
      <c r="G146">
        <v>480.97</v>
      </c>
      <c r="H146">
        <v>5</v>
      </c>
      <c r="I146">
        <v>0.3</v>
      </c>
      <c r="J146">
        <v>-78.290000000000006</v>
      </c>
      <c r="K146" t="str">
        <f>_xlfn.XLOOKUP(Order_ID_Order[[#This Row],[Region]],'Analysis Dashboard'!O$2:O$5,'Analysis Dashboard'!P$2:P$5)</f>
        <v>Rahul Verma</v>
      </c>
      <c r="L146" t="str">
        <f t="shared" si="2"/>
        <v>21-30%</v>
      </c>
    </row>
    <row r="147" spans="1:12" x14ac:dyDescent="0.25">
      <c r="A147" s="1" t="s">
        <v>197</v>
      </c>
      <c r="B147" s="2">
        <v>45848</v>
      </c>
      <c r="C147" s="1" t="s">
        <v>34</v>
      </c>
      <c r="D147" s="1" t="s">
        <v>22</v>
      </c>
      <c r="E147" s="1" t="s">
        <v>15</v>
      </c>
      <c r="F147" s="1" t="s">
        <v>60</v>
      </c>
      <c r="G147">
        <v>225.18</v>
      </c>
      <c r="H147">
        <v>6</v>
      </c>
      <c r="I147">
        <v>0.5</v>
      </c>
      <c r="J147">
        <v>-99.54</v>
      </c>
      <c r="K147" t="str">
        <f>_xlfn.XLOOKUP(Order_ID_Order[[#This Row],[Region]],'Analysis Dashboard'!O$2:O$5,'Analysis Dashboard'!P$2:P$5)</f>
        <v>Neha Singh</v>
      </c>
      <c r="L147" t="str">
        <f t="shared" si="2"/>
        <v>31-40%</v>
      </c>
    </row>
    <row r="148" spans="1:12" x14ac:dyDescent="0.25">
      <c r="A148" s="1" t="s">
        <v>198</v>
      </c>
      <c r="B148" s="2">
        <v>45951</v>
      </c>
      <c r="C148" s="1" t="s">
        <v>122</v>
      </c>
      <c r="D148" s="1" t="s">
        <v>26</v>
      </c>
      <c r="E148" s="1" t="s">
        <v>53</v>
      </c>
      <c r="F148" s="1" t="s">
        <v>88</v>
      </c>
      <c r="G148">
        <v>428.48</v>
      </c>
      <c r="H148">
        <v>6</v>
      </c>
      <c r="I148">
        <v>0.3</v>
      </c>
      <c r="J148">
        <v>-125.98</v>
      </c>
      <c r="K148" t="str">
        <f>_xlfn.XLOOKUP(Order_ID_Order[[#This Row],[Region]],'Analysis Dashboard'!O$2:O$5,'Analysis Dashboard'!P$2:P$5)</f>
        <v>Ankit Gupta</v>
      </c>
      <c r="L148" t="str">
        <f t="shared" si="2"/>
        <v>21-30%</v>
      </c>
    </row>
    <row r="149" spans="1:12" x14ac:dyDescent="0.25">
      <c r="A149" s="1" t="s">
        <v>199</v>
      </c>
      <c r="B149" s="2">
        <v>45622</v>
      </c>
      <c r="C149" s="1" t="s">
        <v>11</v>
      </c>
      <c r="D149" s="1" t="s">
        <v>18</v>
      </c>
      <c r="E149" s="1" t="s">
        <v>95</v>
      </c>
      <c r="F149" s="1" t="s">
        <v>56</v>
      </c>
      <c r="G149">
        <v>1227.48</v>
      </c>
      <c r="H149">
        <v>5</v>
      </c>
      <c r="I149">
        <v>0.3</v>
      </c>
      <c r="J149">
        <v>-8.9499999999999993</v>
      </c>
      <c r="K149" t="str">
        <f>_xlfn.XLOOKUP(Order_ID_Order[[#This Row],[Region]],'Analysis Dashboard'!O$2:O$5,'Analysis Dashboard'!P$2:P$5)</f>
        <v>Rahul Verma</v>
      </c>
      <c r="L149" t="str">
        <f t="shared" si="2"/>
        <v>21-30%</v>
      </c>
    </row>
    <row r="150" spans="1:12" x14ac:dyDescent="0.25">
      <c r="A150" s="1" t="s">
        <v>200</v>
      </c>
      <c r="B150" s="2">
        <v>45481</v>
      </c>
      <c r="C150" s="1" t="s">
        <v>122</v>
      </c>
      <c r="D150" s="1" t="s">
        <v>22</v>
      </c>
      <c r="E150" s="1" t="s">
        <v>35</v>
      </c>
      <c r="F150" s="1" t="s">
        <v>24</v>
      </c>
      <c r="G150">
        <v>373.88</v>
      </c>
      <c r="H150">
        <v>7</v>
      </c>
      <c r="I150">
        <v>0.4</v>
      </c>
      <c r="J150">
        <v>-109.93</v>
      </c>
      <c r="K150" t="str">
        <f>_xlfn.XLOOKUP(Order_ID_Order[[#This Row],[Region]],'Analysis Dashboard'!O$2:O$5,'Analysis Dashboard'!P$2:P$5)</f>
        <v>Ankit Gupta</v>
      </c>
      <c r="L150" t="str">
        <f t="shared" si="2"/>
        <v>31-40%</v>
      </c>
    </row>
    <row r="151" spans="1:12" x14ac:dyDescent="0.25">
      <c r="A151" s="1" t="s">
        <v>201</v>
      </c>
      <c r="B151" s="2">
        <v>45377</v>
      </c>
      <c r="C151" s="1" t="s">
        <v>34</v>
      </c>
      <c r="D151" s="1" t="s">
        <v>18</v>
      </c>
      <c r="E151" s="1" t="s">
        <v>19</v>
      </c>
      <c r="F151" s="1" t="s">
        <v>96</v>
      </c>
      <c r="G151">
        <v>5457.12</v>
      </c>
      <c r="H151">
        <v>10</v>
      </c>
      <c r="I151">
        <v>0.4</v>
      </c>
      <c r="J151">
        <v>-929.24</v>
      </c>
      <c r="K151" t="str">
        <f>_xlfn.XLOOKUP(Order_ID_Order[[#This Row],[Region]],'Analysis Dashboard'!O$2:O$5,'Analysis Dashboard'!P$2:P$5)</f>
        <v>Neha Singh</v>
      </c>
      <c r="L151" t="str">
        <f t="shared" si="2"/>
        <v>31-40%</v>
      </c>
    </row>
    <row r="152" spans="1:12" x14ac:dyDescent="0.25">
      <c r="A152" s="1" t="s">
        <v>202</v>
      </c>
      <c r="B152" s="2">
        <v>45499</v>
      </c>
      <c r="C152" s="1" t="s">
        <v>62</v>
      </c>
      <c r="D152" s="1" t="s">
        <v>22</v>
      </c>
      <c r="E152" s="1" t="s">
        <v>48</v>
      </c>
      <c r="F152" s="1" t="s">
        <v>24</v>
      </c>
      <c r="G152">
        <v>711.34</v>
      </c>
      <c r="H152">
        <v>7</v>
      </c>
      <c r="I152">
        <v>0</v>
      </c>
      <c r="J152">
        <v>187.99</v>
      </c>
      <c r="K152" t="str">
        <f>_xlfn.XLOOKUP(Order_ID_Order[[#This Row],[Region]],'Analysis Dashboard'!O$2:O$5,'Analysis Dashboard'!P$2:P$5)</f>
        <v>Priya Sharma</v>
      </c>
      <c r="L152" t="str">
        <f t="shared" si="2"/>
        <v>0-10%</v>
      </c>
    </row>
    <row r="153" spans="1:12" x14ac:dyDescent="0.25">
      <c r="A153" s="1" t="s">
        <v>203</v>
      </c>
      <c r="B153" s="2">
        <v>45667</v>
      </c>
      <c r="C153" s="1" t="s">
        <v>11</v>
      </c>
      <c r="D153" s="1" t="s">
        <v>22</v>
      </c>
      <c r="E153" s="1" t="s">
        <v>15</v>
      </c>
      <c r="F153" s="1" t="s">
        <v>60</v>
      </c>
      <c r="G153">
        <v>691.56</v>
      </c>
      <c r="H153">
        <v>6</v>
      </c>
      <c r="I153">
        <v>0</v>
      </c>
      <c r="J153">
        <v>168.6</v>
      </c>
      <c r="K153" t="str">
        <f>_xlfn.XLOOKUP(Order_ID_Order[[#This Row],[Region]],'Analysis Dashboard'!O$2:O$5,'Analysis Dashboard'!P$2:P$5)</f>
        <v>Rahul Verma</v>
      </c>
      <c r="L153" t="str">
        <f t="shared" si="2"/>
        <v>0-10%</v>
      </c>
    </row>
    <row r="154" spans="1:12" x14ac:dyDescent="0.25">
      <c r="A154" s="1" t="s">
        <v>204</v>
      </c>
      <c r="B154" s="2">
        <v>45550</v>
      </c>
      <c r="C154" s="1" t="s">
        <v>34</v>
      </c>
      <c r="D154" s="1" t="s">
        <v>26</v>
      </c>
      <c r="E154" s="1" t="s">
        <v>66</v>
      </c>
      <c r="F154" s="1" t="s">
        <v>88</v>
      </c>
      <c r="G154">
        <v>836.96</v>
      </c>
      <c r="H154">
        <v>2</v>
      </c>
      <c r="I154">
        <v>0.15</v>
      </c>
      <c r="J154">
        <v>-78.37</v>
      </c>
      <c r="K154" t="str">
        <f>_xlfn.XLOOKUP(Order_ID_Order[[#This Row],[Region]],'Analysis Dashboard'!O$2:O$5,'Analysis Dashboard'!P$2:P$5)</f>
        <v>Neha Singh</v>
      </c>
      <c r="L154" t="str">
        <f t="shared" si="2"/>
        <v>11-20%</v>
      </c>
    </row>
    <row r="155" spans="1:12" x14ac:dyDescent="0.25">
      <c r="A155" s="1" t="s">
        <v>205</v>
      </c>
      <c r="B155" s="2">
        <v>45942</v>
      </c>
      <c r="C155" s="1" t="s">
        <v>11</v>
      </c>
      <c r="D155" s="1" t="s">
        <v>22</v>
      </c>
      <c r="E155" s="1" t="s">
        <v>15</v>
      </c>
      <c r="F155" s="1" t="s">
        <v>64</v>
      </c>
      <c r="G155">
        <v>274.70999999999998</v>
      </c>
      <c r="H155">
        <v>7</v>
      </c>
      <c r="I155">
        <v>0.15</v>
      </c>
      <c r="J155">
        <v>12.54</v>
      </c>
      <c r="K155" t="str">
        <f>_xlfn.XLOOKUP(Order_ID_Order[[#This Row],[Region]],'Analysis Dashboard'!O$2:O$5,'Analysis Dashboard'!P$2:P$5)</f>
        <v>Rahul Verma</v>
      </c>
      <c r="L155" t="str">
        <f t="shared" si="2"/>
        <v>11-20%</v>
      </c>
    </row>
    <row r="156" spans="1:12" x14ac:dyDescent="0.25">
      <c r="A156" s="1" t="s">
        <v>206</v>
      </c>
      <c r="B156" s="2">
        <v>45698</v>
      </c>
      <c r="C156" s="1" t="s">
        <v>11</v>
      </c>
      <c r="D156" s="1" t="s">
        <v>26</v>
      </c>
      <c r="E156" s="1" t="s">
        <v>53</v>
      </c>
      <c r="F156" s="1" t="s">
        <v>54</v>
      </c>
      <c r="G156">
        <v>432.11</v>
      </c>
      <c r="H156">
        <v>1</v>
      </c>
      <c r="I156">
        <v>0.15</v>
      </c>
      <c r="J156">
        <v>-30.66</v>
      </c>
      <c r="K156" t="str">
        <f>_xlfn.XLOOKUP(Order_ID_Order[[#This Row],[Region]],'Analysis Dashboard'!O$2:O$5,'Analysis Dashboard'!P$2:P$5)</f>
        <v>Rahul Verma</v>
      </c>
      <c r="L156" t="str">
        <f t="shared" si="2"/>
        <v>11-20%</v>
      </c>
    </row>
    <row r="157" spans="1:12" x14ac:dyDescent="0.25">
      <c r="A157" s="1" t="s">
        <v>207</v>
      </c>
      <c r="B157" s="2">
        <v>45631</v>
      </c>
      <c r="C157" s="1" t="s">
        <v>122</v>
      </c>
      <c r="D157" s="1" t="s">
        <v>22</v>
      </c>
      <c r="E157" s="1" t="s">
        <v>48</v>
      </c>
      <c r="F157" s="1" t="s">
        <v>16</v>
      </c>
      <c r="G157">
        <v>314.7</v>
      </c>
      <c r="H157">
        <v>8</v>
      </c>
      <c r="I157">
        <v>0.15</v>
      </c>
      <c r="J157">
        <v>16.989999999999998</v>
      </c>
      <c r="K157" t="str">
        <f>_xlfn.XLOOKUP(Order_ID_Order[[#This Row],[Region]],'Analysis Dashboard'!O$2:O$5,'Analysis Dashboard'!P$2:P$5)</f>
        <v>Ankit Gupta</v>
      </c>
      <c r="L157" t="str">
        <f t="shared" si="2"/>
        <v>11-20%</v>
      </c>
    </row>
    <row r="158" spans="1:12" x14ac:dyDescent="0.25">
      <c r="A158" s="1" t="s">
        <v>208</v>
      </c>
      <c r="B158" s="2">
        <v>45982</v>
      </c>
      <c r="C158" s="1" t="s">
        <v>11</v>
      </c>
      <c r="D158" s="1" t="s">
        <v>18</v>
      </c>
      <c r="E158" s="1" t="s">
        <v>95</v>
      </c>
      <c r="F158" s="1" t="s">
        <v>96</v>
      </c>
      <c r="G158">
        <v>11455.46</v>
      </c>
      <c r="H158">
        <v>9</v>
      </c>
      <c r="I158">
        <v>0.05</v>
      </c>
      <c r="J158">
        <v>3702.53</v>
      </c>
      <c r="K158" t="str">
        <f>_xlfn.XLOOKUP(Order_ID_Order[[#This Row],[Region]],'Analysis Dashboard'!O$2:O$5,'Analysis Dashboard'!P$2:P$5)</f>
        <v>Rahul Verma</v>
      </c>
      <c r="L158" t="str">
        <f t="shared" si="2"/>
        <v>0-10%</v>
      </c>
    </row>
    <row r="159" spans="1:12" x14ac:dyDescent="0.25">
      <c r="A159" s="1" t="s">
        <v>209</v>
      </c>
      <c r="B159" s="2">
        <v>45856</v>
      </c>
      <c r="C159" s="1" t="s">
        <v>11</v>
      </c>
      <c r="D159" s="1" t="s">
        <v>22</v>
      </c>
      <c r="E159" s="1" t="s">
        <v>35</v>
      </c>
      <c r="F159" s="1" t="s">
        <v>16</v>
      </c>
      <c r="G159">
        <v>218.89</v>
      </c>
      <c r="H159">
        <v>5</v>
      </c>
      <c r="I159">
        <v>0.3</v>
      </c>
      <c r="J159">
        <v>-34.729999999999997</v>
      </c>
      <c r="K159" t="str">
        <f>_xlfn.XLOOKUP(Order_ID_Order[[#This Row],[Region]],'Analysis Dashboard'!O$2:O$5,'Analysis Dashboard'!P$2:P$5)</f>
        <v>Rahul Verma</v>
      </c>
      <c r="L159" t="str">
        <f t="shared" si="2"/>
        <v>21-30%</v>
      </c>
    </row>
    <row r="160" spans="1:12" x14ac:dyDescent="0.25">
      <c r="A160" s="1" t="s">
        <v>210</v>
      </c>
      <c r="B160" s="2">
        <v>45510</v>
      </c>
      <c r="C160" s="1" t="s">
        <v>62</v>
      </c>
      <c r="D160" s="1" t="s">
        <v>26</v>
      </c>
      <c r="E160" s="1" t="s">
        <v>27</v>
      </c>
      <c r="F160" s="1" t="s">
        <v>28</v>
      </c>
      <c r="G160">
        <v>721.56</v>
      </c>
      <c r="H160">
        <v>7</v>
      </c>
      <c r="I160">
        <v>0</v>
      </c>
      <c r="J160">
        <v>87.16</v>
      </c>
      <c r="K160" t="str">
        <f>_xlfn.XLOOKUP(Order_ID_Order[[#This Row],[Region]],'Analysis Dashboard'!O$2:O$5,'Analysis Dashboard'!P$2:P$5)</f>
        <v>Priya Sharma</v>
      </c>
      <c r="L160" t="str">
        <f t="shared" si="2"/>
        <v>0-10%</v>
      </c>
    </row>
    <row r="161" spans="1:12" x14ac:dyDescent="0.25">
      <c r="A161" s="1" t="s">
        <v>211</v>
      </c>
      <c r="B161" s="2">
        <v>45801</v>
      </c>
      <c r="C161" s="1" t="s">
        <v>34</v>
      </c>
      <c r="D161" s="1" t="s">
        <v>26</v>
      </c>
      <c r="E161" s="1" t="s">
        <v>53</v>
      </c>
      <c r="F161" s="1" t="s">
        <v>13</v>
      </c>
      <c r="G161">
        <v>1946.7</v>
      </c>
      <c r="H161">
        <v>10</v>
      </c>
      <c r="I161">
        <v>0</v>
      </c>
      <c r="J161">
        <v>195.27</v>
      </c>
      <c r="K161" t="str">
        <f>_xlfn.XLOOKUP(Order_ID_Order[[#This Row],[Region]],'Analysis Dashboard'!O$2:O$5,'Analysis Dashboard'!P$2:P$5)</f>
        <v>Neha Singh</v>
      </c>
      <c r="L161" t="str">
        <f t="shared" si="2"/>
        <v>0-10%</v>
      </c>
    </row>
    <row r="162" spans="1:12" x14ac:dyDescent="0.25">
      <c r="A162" s="1" t="s">
        <v>212</v>
      </c>
      <c r="B162" s="2">
        <v>45390</v>
      </c>
      <c r="C162" s="1" t="s">
        <v>34</v>
      </c>
      <c r="D162" s="1" t="s">
        <v>22</v>
      </c>
      <c r="E162" s="1" t="s">
        <v>76</v>
      </c>
      <c r="F162" s="1" t="s">
        <v>24</v>
      </c>
      <c r="G162">
        <v>222.98</v>
      </c>
      <c r="H162">
        <v>5</v>
      </c>
      <c r="I162">
        <v>0.3</v>
      </c>
      <c r="J162">
        <v>-34.69</v>
      </c>
      <c r="K162" t="str">
        <f>_xlfn.XLOOKUP(Order_ID_Order[[#This Row],[Region]],'Analysis Dashboard'!O$2:O$5,'Analysis Dashboard'!P$2:P$5)</f>
        <v>Neha Singh</v>
      </c>
      <c r="L162" t="str">
        <f t="shared" si="2"/>
        <v>21-30%</v>
      </c>
    </row>
    <row r="163" spans="1:12" x14ac:dyDescent="0.25">
      <c r="A163" s="1" t="s">
        <v>213</v>
      </c>
      <c r="B163" s="2">
        <v>45854</v>
      </c>
      <c r="C163" s="1" t="s">
        <v>11</v>
      </c>
      <c r="D163" s="1" t="s">
        <v>22</v>
      </c>
      <c r="E163" s="1" t="s">
        <v>35</v>
      </c>
      <c r="F163" s="1" t="s">
        <v>24</v>
      </c>
      <c r="G163">
        <v>226.84</v>
      </c>
      <c r="H163">
        <v>8</v>
      </c>
      <c r="I163">
        <v>0.5</v>
      </c>
      <c r="J163">
        <v>-99.57</v>
      </c>
      <c r="K163" t="str">
        <f>_xlfn.XLOOKUP(Order_ID_Order[[#This Row],[Region]],'Analysis Dashboard'!O$2:O$5,'Analysis Dashboard'!P$2:P$5)</f>
        <v>Rahul Verma</v>
      </c>
      <c r="L163" t="str">
        <f t="shared" si="2"/>
        <v>31-40%</v>
      </c>
    </row>
    <row r="164" spans="1:12" x14ac:dyDescent="0.25">
      <c r="A164" s="1" t="s">
        <v>214</v>
      </c>
      <c r="B164" s="2">
        <v>45319</v>
      </c>
      <c r="C164" s="1" t="s">
        <v>62</v>
      </c>
      <c r="D164" s="1" t="s">
        <v>26</v>
      </c>
      <c r="E164" s="1" t="s">
        <v>53</v>
      </c>
      <c r="F164" s="1" t="s">
        <v>115</v>
      </c>
      <c r="G164">
        <v>701.54</v>
      </c>
      <c r="H164">
        <v>4</v>
      </c>
      <c r="I164">
        <v>0.2</v>
      </c>
      <c r="J164">
        <v>-113.3</v>
      </c>
      <c r="K164" t="str">
        <f>_xlfn.XLOOKUP(Order_ID_Order[[#This Row],[Region]],'Analysis Dashboard'!O$2:O$5,'Analysis Dashboard'!P$2:P$5)</f>
        <v>Priya Sharma</v>
      </c>
      <c r="L164" t="str">
        <f t="shared" si="2"/>
        <v>11-20%</v>
      </c>
    </row>
    <row r="165" spans="1:12" x14ac:dyDescent="0.25">
      <c r="A165" s="1" t="s">
        <v>215</v>
      </c>
      <c r="B165" s="2">
        <v>45508</v>
      </c>
      <c r="C165" s="1" t="s">
        <v>11</v>
      </c>
      <c r="D165" s="1" t="s">
        <v>18</v>
      </c>
      <c r="E165" s="1" t="s">
        <v>19</v>
      </c>
      <c r="F165" s="1" t="s">
        <v>96</v>
      </c>
      <c r="G165">
        <v>5190.62</v>
      </c>
      <c r="H165">
        <v>8</v>
      </c>
      <c r="I165">
        <v>0.1</v>
      </c>
      <c r="J165">
        <v>1347.41</v>
      </c>
      <c r="K165" t="str">
        <f>_xlfn.XLOOKUP(Order_ID_Order[[#This Row],[Region]],'Analysis Dashboard'!O$2:O$5,'Analysis Dashboard'!P$2:P$5)</f>
        <v>Rahul Verma</v>
      </c>
      <c r="L165" t="str">
        <f t="shared" si="2"/>
        <v>0-10%</v>
      </c>
    </row>
    <row r="166" spans="1:12" x14ac:dyDescent="0.25">
      <c r="A166" s="1" t="s">
        <v>216</v>
      </c>
      <c r="B166" s="2">
        <v>45372</v>
      </c>
      <c r="C166" s="1" t="s">
        <v>11</v>
      </c>
      <c r="D166" s="1" t="s">
        <v>18</v>
      </c>
      <c r="E166" s="1" t="s">
        <v>81</v>
      </c>
      <c r="F166" s="1" t="s">
        <v>58</v>
      </c>
      <c r="G166">
        <v>953.7</v>
      </c>
      <c r="H166">
        <v>4</v>
      </c>
      <c r="I166">
        <v>0.15</v>
      </c>
      <c r="J166">
        <v>175.73</v>
      </c>
      <c r="K166" t="str">
        <f>_xlfn.XLOOKUP(Order_ID_Order[[#This Row],[Region]],'Analysis Dashboard'!O$2:O$5,'Analysis Dashboard'!P$2:P$5)</f>
        <v>Rahul Verma</v>
      </c>
      <c r="L166" t="str">
        <f t="shared" si="2"/>
        <v>11-20%</v>
      </c>
    </row>
    <row r="167" spans="1:12" x14ac:dyDescent="0.25">
      <c r="A167" s="1" t="s">
        <v>217</v>
      </c>
      <c r="B167" s="2">
        <v>45710</v>
      </c>
      <c r="C167" s="1" t="s">
        <v>122</v>
      </c>
      <c r="D167" s="1" t="s">
        <v>26</v>
      </c>
      <c r="E167" s="1" t="s">
        <v>27</v>
      </c>
      <c r="F167" s="1" t="s">
        <v>115</v>
      </c>
      <c r="G167">
        <v>4197.46</v>
      </c>
      <c r="H167">
        <v>9</v>
      </c>
      <c r="I167">
        <v>0.2</v>
      </c>
      <c r="J167">
        <v>-698.41</v>
      </c>
      <c r="K167" t="str">
        <f>_xlfn.XLOOKUP(Order_ID_Order[[#This Row],[Region]],'Analysis Dashboard'!O$2:O$5,'Analysis Dashboard'!P$2:P$5)</f>
        <v>Ankit Gupta</v>
      </c>
      <c r="L167" t="str">
        <f t="shared" si="2"/>
        <v>11-20%</v>
      </c>
    </row>
    <row r="168" spans="1:12" x14ac:dyDescent="0.25">
      <c r="A168" s="1" t="s">
        <v>218</v>
      </c>
      <c r="B168" s="2">
        <v>45658</v>
      </c>
      <c r="C168" s="1" t="s">
        <v>122</v>
      </c>
      <c r="D168" s="1" t="s">
        <v>22</v>
      </c>
      <c r="E168" s="1" t="s">
        <v>35</v>
      </c>
      <c r="F168" s="1" t="s">
        <v>16</v>
      </c>
      <c r="G168">
        <v>260.95</v>
      </c>
      <c r="H168">
        <v>10</v>
      </c>
      <c r="I168">
        <v>0.5</v>
      </c>
      <c r="J168">
        <v>-108.33</v>
      </c>
      <c r="K168" t="str">
        <f>_xlfn.XLOOKUP(Order_ID_Order[[#This Row],[Region]],'Analysis Dashboard'!O$2:O$5,'Analysis Dashboard'!P$2:P$5)</f>
        <v>Ankit Gupta</v>
      </c>
      <c r="L168" t="str">
        <f t="shared" si="2"/>
        <v>31-40%</v>
      </c>
    </row>
    <row r="169" spans="1:12" x14ac:dyDescent="0.25">
      <c r="A169" s="1" t="s">
        <v>219</v>
      </c>
      <c r="B169" s="2">
        <v>45929</v>
      </c>
      <c r="C169" s="1" t="s">
        <v>11</v>
      </c>
      <c r="D169" s="1" t="s">
        <v>18</v>
      </c>
      <c r="E169" s="1" t="s">
        <v>19</v>
      </c>
      <c r="F169" s="1" t="s">
        <v>82</v>
      </c>
      <c r="G169">
        <v>5247.42</v>
      </c>
      <c r="H169">
        <v>6</v>
      </c>
      <c r="I169">
        <v>0</v>
      </c>
      <c r="J169">
        <v>2089.19</v>
      </c>
      <c r="K169" t="str">
        <f>_xlfn.XLOOKUP(Order_ID_Order[[#This Row],[Region]],'Analysis Dashboard'!O$2:O$5,'Analysis Dashboard'!P$2:P$5)</f>
        <v>Rahul Verma</v>
      </c>
      <c r="L169" t="str">
        <f t="shared" si="2"/>
        <v>0-10%</v>
      </c>
    </row>
    <row r="170" spans="1:12" x14ac:dyDescent="0.25">
      <c r="A170" s="1" t="s">
        <v>220</v>
      </c>
      <c r="B170" s="2">
        <v>45363</v>
      </c>
      <c r="C170" s="1" t="s">
        <v>11</v>
      </c>
      <c r="D170" s="1" t="s">
        <v>26</v>
      </c>
      <c r="E170" s="1" t="s">
        <v>66</v>
      </c>
      <c r="F170" s="1" t="s">
        <v>28</v>
      </c>
      <c r="G170">
        <v>1525.79</v>
      </c>
      <c r="H170">
        <v>10</v>
      </c>
      <c r="I170">
        <v>0.3</v>
      </c>
      <c r="J170">
        <v>-426.62</v>
      </c>
      <c r="K170" t="str">
        <f>_xlfn.XLOOKUP(Order_ID_Order[[#This Row],[Region]],'Analysis Dashboard'!O$2:O$5,'Analysis Dashboard'!P$2:P$5)</f>
        <v>Rahul Verma</v>
      </c>
      <c r="L170" t="str">
        <f t="shared" si="2"/>
        <v>21-30%</v>
      </c>
    </row>
    <row r="171" spans="1:12" x14ac:dyDescent="0.25">
      <c r="A171" s="1" t="s">
        <v>221</v>
      </c>
      <c r="B171" s="2">
        <v>45747</v>
      </c>
      <c r="C171" s="1" t="s">
        <v>122</v>
      </c>
      <c r="D171" s="1" t="s">
        <v>22</v>
      </c>
      <c r="E171" s="1" t="s">
        <v>15</v>
      </c>
      <c r="F171" s="1" t="s">
        <v>49</v>
      </c>
      <c r="G171">
        <v>74.97</v>
      </c>
      <c r="H171">
        <v>5</v>
      </c>
      <c r="I171">
        <v>0.1</v>
      </c>
      <c r="J171">
        <v>10.029999999999999</v>
      </c>
      <c r="K171" t="str">
        <f>_xlfn.XLOOKUP(Order_ID_Order[[#This Row],[Region]],'Analysis Dashboard'!O$2:O$5,'Analysis Dashboard'!P$2:P$5)</f>
        <v>Ankit Gupta</v>
      </c>
      <c r="L171" t="str">
        <f t="shared" si="2"/>
        <v>0-10%</v>
      </c>
    </row>
    <row r="172" spans="1:12" x14ac:dyDescent="0.25">
      <c r="A172" s="1" t="s">
        <v>222</v>
      </c>
      <c r="B172" s="2">
        <v>45570</v>
      </c>
      <c r="C172" s="1" t="s">
        <v>11</v>
      </c>
      <c r="D172" s="1" t="s">
        <v>26</v>
      </c>
      <c r="E172" s="1" t="s">
        <v>66</v>
      </c>
      <c r="F172" s="1" t="s">
        <v>28</v>
      </c>
      <c r="G172">
        <v>733.36</v>
      </c>
      <c r="H172">
        <v>6</v>
      </c>
      <c r="I172">
        <v>0.05</v>
      </c>
      <c r="J172">
        <v>42.52</v>
      </c>
      <c r="K172" t="str">
        <f>_xlfn.XLOOKUP(Order_ID_Order[[#This Row],[Region]],'Analysis Dashboard'!O$2:O$5,'Analysis Dashboard'!P$2:P$5)</f>
        <v>Rahul Verma</v>
      </c>
      <c r="L172" t="str">
        <f t="shared" si="2"/>
        <v>0-10%</v>
      </c>
    </row>
    <row r="173" spans="1:12" x14ac:dyDescent="0.25">
      <c r="A173" s="1" t="s">
        <v>223</v>
      </c>
      <c r="B173" s="2">
        <v>45524</v>
      </c>
      <c r="C173" s="1" t="s">
        <v>34</v>
      </c>
      <c r="D173" s="1" t="s">
        <v>22</v>
      </c>
      <c r="E173" s="1" t="s">
        <v>48</v>
      </c>
      <c r="F173" s="1" t="s">
        <v>30</v>
      </c>
      <c r="G173">
        <v>785.26</v>
      </c>
      <c r="H173">
        <v>10</v>
      </c>
      <c r="I173">
        <v>0.3</v>
      </c>
      <c r="J173">
        <v>-124.96</v>
      </c>
      <c r="K173" t="str">
        <f>_xlfn.XLOOKUP(Order_ID_Order[[#This Row],[Region]],'Analysis Dashboard'!O$2:O$5,'Analysis Dashboard'!P$2:P$5)</f>
        <v>Neha Singh</v>
      </c>
      <c r="L173" t="str">
        <f t="shared" si="2"/>
        <v>21-30%</v>
      </c>
    </row>
    <row r="174" spans="1:12" x14ac:dyDescent="0.25">
      <c r="A174" s="1" t="s">
        <v>224</v>
      </c>
      <c r="B174" s="2">
        <v>45746</v>
      </c>
      <c r="C174" s="1" t="s">
        <v>62</v>
      </c>
      <c r="D174" s="1" t="s">
        <v>18</v>
      </c>
      <c r="E174" s="1" t="s">
        <v>43</v>
      </c>
      <c r="F174" s="1" t="s">
        <v>20</v>
      </c>
      <c r="G174">
        <v>5680.05</v>
      </c>
      <c r="H174">
        <v>5</v>
      </c>
      <c r="I174">
        <v>0</v>
      </c>
      <c r="J174">
        <v>2201.65</v>
      </c>
      <c r="K174" t="str">
        <f>_xlfn.XLOOKUP(Order_ID_Order[[#This Row],[Region]],'Analysis Dashboard'!O$2:O$5,'Analysis Dashboard'!P$2:P$5)</f>
        <v>Priya Sharma</v>
      </c>
      <c r="L174" t="str">
        <f t="shared" si="2"/>
        <v>0-10%</v>
      </c>
    </row>
    <row r="175" spans="1:12" x14ac:dyDescent="0.25">
      <c r="A175" s="1" t="s">
        <v>225</v>
      </c>
      <c r="B175" s="2">
        <v>45863</v>
      </c>
      <c r="C175" s="1" t="s">
        <v>34</v>
      </c>
      <c r="D175" s="1" t="s">
        <v>22</v>
      </c>
      <c r="E175" s="1" t="s">
        <v>48</v>
      </c>
      <c r="F175" s="1" t="s">
        <v>60</v>
      </c>
      <c r="G175">
        <v>407.44</v>
      </c>
      <c r="H175">
        <v>6</v>
      </c>
      <c r="I175">
        <v>0.05</v>
      </c>
      <c r="J175">
        <v>77.13</v>
      </c>
      <c r="K175" t="str">
        <f>_xlfn.XLOOKUP(Order_ID_Order[[#This Row],[Region]],'Analysis Dashboard'!O$2:O$5,'Analysis Dashboard'!P$2:P$5)</f>
        <v>Neha Singh</v>
      </c>
      <c r="L175" t="str">
        <f t="shared" si="2"/>
        <v>0-10%</v>
      </c>
    </row>
    <row r="176" spans="1:12" x14ac:dyDescent="0.25">
      <c r="A176" s="1" t="s">
        <v>226</v>
      </c>
      <c r="B176" s="2">
        <v>45403</v>
      </c>
      <c r="C176" s="1" t="s">
        <v>11</v>
      </c>
      <c r="D176" s="1" t="s">
        <v>26</v>
      </c>
      <c r="E176" s="1" t="s">
        <v>12</v>
      </c>
      <c r="F176" s="1" t="s">
        <v>189</v>
      </c>
      <c r="G176">
        <v>3262.05</v>
      </c>
      <c r="H176">
        <v>10</v>
      </c>
      <c r="I176">
        <v>0.1</v>
      </c>
      <c r="J176">
        <v>-38.630000000000003</v>
      </c>
      <c r="K176" t="str">
        <f>_xlfn.XLOOKUP(Order_ID_Order[[#This Row],[Region]],'Analysis Dashboard'!O$2:O$5,'Analysis Dashboard'!P$2:P$5)</f>
        <v>Rahul Verma</v>
      </c>
      <c r="L176" t="str">
        <f t="shared" si="2"/>
        <v>0-10%</v>
      </c>
    </row>
    <row r="177" spans="1:12" x14ac:dyDescent="0.25">
      <c r="A177" s="1" t="s">
        <v>227</v>
      </c>
      <c r="B177" s="2">
        <v>45634</v>
      </c>
      <c r="C177" s="1" t="s">
        <v>34</v>
      </c>
      <c r="D177" s="1" t="s">
        <v>26</v>
      </c>
      <c r="E177" s="1" t="s">
        <v>53</v>
      </c>
      <c r="F177" s="1" t="s">
        <v>189</v>
      </c>
      <c r="G177">
        <v>1329.05</v>
      </c>
      <c r="H177">
        <v>6</v>
      </c>
      <c r="I177">
        <v>0.3</v>
      </c>
      <c r="J177">
        <v>-390.57</v>
      </c>
      <c r="K177" t="str">
        <f>_xlfn.XLOOKUP(Order_ID_Order[[#This Row],[Region]],'Analysis Dashboard'!O$2:O$5,'Analysis Dashboard'!P$2:P$5)</f>
        <v>Neha Singh</v>
      </c>
      <c r="L177" t="str">
        <f t="shared" si="2"/>
        <v>21-30%</v>
      </c>
    </row>
    <row r="178" spans="1:12" x14ac:dyDescent="0.25">
      <c r="A178" s="1" t="s">
        <v>228</v>
      </c>
      <c r="B178" s="2">
        <v>45857</v>
      </c>
      <c r="C178" s="1" t="s">
        <v>62</v>
      </c>
      <c r="D178" s="1" t="s">
        <v>26</v>
      </c>
      <c r="E178" s="1" t="s">
        <v>53</v>
      </c>
      <c r="F178" s="1" t="s">
        <v>13</v>
      </c>
      <c r="G178">
        <v>2942.4</v>
      </c>
      <c r="H178">
        <v>6</v>
      </c>
      <c r="I178">
        <v>0</v>
      </c>
      <c r="J178">
        <v>333.04</v>
      </c>
      <c r="K178" t="str">
        <f>_xlfn.XLOOKUP(Order_ID_Order[[#This Row],[Region]],'Analysis Dashboard'!O$2:O$5,'Analysis Dashboard'!P$2:P$5)</f>
        <v>Priya Sharma</v>
      </c>
      <c r="L178" t="str">
        <f t="shared" si="2"/>
        <v>0-10%</v>
      </c>
    </row>
    <row r="179" spans="1:12" x14ac:dyDescent="0.25">
      <c r="A179" s="1" t="s">
        <v>229</v>
      </c>
      <c r="B179" s="2">
        <v>45637</v>
      </c>
      <c r="C179" s="1" t="s">
        <v>34</v>
      </c>
      <c r="D179" s="1" t="s">
        <v>22</v>
      </c>
      <c r="E179" s="1" t="s">
        <v>23</v>
      </c>
      <c r="F179" s="1" t="s">
        <v>49</v>
      </c>
      <c r="G179">
        <v>376.75</v>
      </c>
      <c r="H179">
        <v>8</v>
      </c>
      <c r="I179">
        <v>0.4</v>
      </c>
      <c r="J179">
        <v>-105.34</v>
      </c>
      <c r="K179" t="str">
        <f>_xlfn.XLOOKUP(Order_ID_Order[[#This Row],[Region]],'Analysis Dashboard'!O$2:O$5,'Analysis Dashboard'!P$2:P$5)</f>
        <v>Neha Singh</v>
      </c>
      <c r="L179" t="str">
        <f t="shared" si="2"/>
        <v>31-40%</v>
      </c>
    </row>
    <row r="180" spans="1:12" x14ac:dyDescent="0.25">
      <c r="A180" s="1" t="s">
        <v>229</v>
      </c>
      <c r="B180" s="2">
        <v>45637</v>
      </c>
      <c r="C180" s="1" t="s">
        <v>34</v>
      </c>
      <c r="D180" s="1" t="s">
        <v>22</v>
      </c>
      <c r="E180" s="1" t="s">
        <v>23</v>
      </c>
      <c r="F180" s="1" t="s">
        <v>49</v>
      </c>
      <c r="G180">
        <v>376.75</v>
      </c>
      <c r="H180">
        <v>8</v>
      </c>
      <c r="I180">
        <v>0.4</v>
      </c>
      <c r="J180">
        <v>-105.34</v>
      </c>
      <c r="K180" t="str">
        <f>_xlfn.XLOOKUP(Order_ID_Order[[#This Row],[Region]],'Analysis Dashboard'!O$2:O$5,'Analysis Dashboard'!P$2:P$5)</f>
        <v>Neha Singh</v>
      </c>
      <c r="L180" t="str">
        <f t="shared" si="2"/>
        <v>31-40%</v>
      </c>
    </row>
    <row r="181" spans="1:12" x14ac:dyDescent="0.25">
      <c r="A181" s="1" t="s">
        <v>230</v>
      </c>
      <c r="B181" s="2">
        <v>45650</v>
      </c>
      <c r="C181" s="1" t="s">
        <v>62</v>
      </c>
      <c r="D181" s="1" t="s">
        <v>22</v>
      </c>
      <c r="E181" s="1" t="s">
        <v>15</v>
      </c>
      <c r="F181" s="1" t="s">
        <v>60</v>
      </c>
      <c r="G181">
        <v>267.36</v>
      </c>
      <c r="H181">
        <v>8</v>
      </c>
      <c r="I181">
        <v>0.4</v>
      </c>
      <c r="J181">
        <v>-80.28</v>
      </c>
      <c r="K181" t="str">
        <f>_xlfn.XLOOKUP(Order_ID_Order[[#This Row],[Region]],'Analysis Dashboard'!O$2:O$5,'Analysis Dashboard'!P$2:P$5)</f>
        <v>Priya Sharma</v>
      </c>
      <c r="L181" t="str">
        <f t="shared" si="2"/>
        <v>31-40%</v>
      </c>
    </row>
    <row r="182" spans="1:12" x14ac:dyDescent="0.25">
      <c r="A182" s="1" t="s">
        <v>231</v>
      </c>
      <c r="B182" s="2">
        <v>45802</v>
      </c>
      <c r="C182" s="1" t="s">
        <v>11</v>
      </c>
      <c r="D182" s="1" t="s">
        <v>22</v>
      </c>
      <c r="E182" s="1" t="s">
        <v>48</v>
      </c>
      <c r="F182" s="1" t="s">
        <v>64</v>
      </c>
      <c r="G182">
        <v>328.35</v>
      </c>
      <c r="H182">
        <v>3</v>
      </c>
      <c r="I182">
        <v>0.05</v>
      </c>
      <c r="J182">
        <v>58.35</v>
      </c>
      <c r="K182" t="str">
        <f>_xlfn.XLOOKUP(Order_ID_Order[[#This Row],[Region]],'Analysis Dashboard'!O$2:O$5,'Analysis Dashboard'!P$2:P$5)</f>
        <v>Rahul Verma</v>
      </c>
      <c r="L182" t="str">
        <f t="shared" si="2"/>
        <v>0-10%</v>
      </c>
    </row>
    <row r="183" spans="1:12" x14ac:dyDescent="0.25">
      <c r="A183" s="1" t="s">
        <v>232</v>
      </c>
      <c r="B183" s="2">
        <v>45323</v>
      </c>
      <c r="C183" s="1" t="s">
        <v>62</v>
      </c>
      <c r="D183" s="1" t="s">
        <v>26</v>
      </c>
      <c r="E183" s="1" t="s">
        <v>12</v>
      </c>
      <c r="F183" s="1" t="s">
        <v>13</v>
      </c>
      <c r="G183">
        <v>1676.2</v>
      </c>
      <c r="H183">
        <v>4</v>
      </c>
      <c r="I183">
        <v>0.1</v>
      </c>
      <c r="J183">
        <v>-49.31</v>
      </c>
      <c r="K183" t="str">
        <f>_xlfn.XLOOKUP(Order_ID_Order[[#This Row],[Region]],'Analysis Dashboard'!O$2:O$5,'Analysis Dashboard'!P$2:P$5)</f>
        <v>Priya Sharma</v>
      </c>
      <c r="L183" t="str">
        <f t="shared" si="2"/>
        <v>0-10%</v>
      </c>
    </row>
    <row r="184" spans="1:12" x14ac:dyDescent="0.25">
      <c r="A184" s="1" t="s">
        <v>233</v>
      </c>
      <c r="B184" s="2">
        <v>46001</v>
      </c>
      <c r="C184" s="1" t="s">
        <v>11</v>
      </c>
      <c r="D184" s="1" t="s">
        <v>26</v>
      </c>
      <c r="E184" s="1" t="s">
        <v>12</v>
      </c>
      <c r="F184" s="1" t="s">
        <v>54</v>
      </c>
      <c r="G184">
        <v>1851.55</v>
      </c>
      <c r="H184">
        <v>8</v>
      </c>
      <c r="I184">
        <v>0.4</v>
      </c>
      <c r="J184">
        <v>-799.57</v>
      </c>
      <c r="K184" t="str">
        <f>_xlfn.XLOOKUP(Order_ID_Order[[#This Row],[Region]],'Analysis Dashboard'!O$2:O$5,'Analysis Dashboard'!P$2:P$5)</f>
        <v>Rahul Verma</v>
      </c>
      <c r="L184" t="str">
        <f t="shared" si="2"/>
        <v>31-40%</v>
      </c>
    </row>
    <row r="185" spans="1:12" x14ac:dyDescent="0.25">
      <c r="A185" s="1" t="s">
        <v>234</v>
      </c>
      <c r="B185" s="2">
        <v>45975</v>
      </c>
      <c r="C185" s="1" t="s">
        <v>11</v>
      </c>
      <c r="D185" s="1" t="s">
        <v>26</v>
      </c>
      <c r="E185" s="1" t="s">
        <v>27</v>
      </c>
      <c r="F185" s="1" t="s">
        <v>85</v>
      </c>
      <c r="G185">
        <v>599.51</v>
      </c>
      <c r="H185">
        <v>7</v>
      </c>
      <c r="I185">
        <v>0.4</v>
      </c>
      <c r="J185">
        <v>-251.18</v>
      </c>
      <c r="K185" t="str">
        <f>_xlfn.XLOOKUP(Order_ID_Order[[#This Row],[Region]],'Analysis Dashboard'!O$2:O$5,'Analysis Dashboard'!P$2:P$5)</f>
        <v>Rahul Verma</v>
      </c>
      <c r="L185" t="str">
        <f t="shared" si="2"/>
        <v>31-40%</v>
      </c>
    </row>
    <row r="186" spans="1:12" x14ac:dyDescent="0.25">
      <c r="A186" s="1" t="s">
        <v>235</v>
      </c>
      <c r="B186" s="2">
        <v>45534</v>
      </c>
      <c r="C186" s="1" t="s">
        <v>122</v>
      </c>
      <c r="D186" s="1" t="s">
        <v>18</v>
      </c>
      <c r="E186" s="1" t="s">
        <v>43</v>
      </c>
      <c r="F186" s="1" t="s">
        <v>96</v>
      </c>
      <c r="G186">
        <v>2301.2199999999998</v>
      </c>
      <c r="H186">
        <v>5</v>
      </c>
      <c r="I186">
        <v>0.5</v>
      </c>
      <c r="J186">
        <v>-653.58000000000004</v>
      </c>
      <c r="K186" t="str">
        <f>_xlfn.XLOOKUP(Order_ID_Order[[#This Row],[Region]],'Analysis Dashboard'!O$2:O$5,'Analysis Dashboard'!P$2:P$5)</f>
        <v>Ankit Gupta</v>
      </c>
      <c r="L186" t="str">
        <f t="shared" si="2"/>
        <v>31-40%</v>
      </c>
    </row>
    <row r="187" spans="1:12" x14ac:dyDescent="0.25">
      <c r="A187" s="1" t="s">
        <v>236</v>
      </c>
      <c r="B187" s="2">
        <v>45764</v>
      </c>
      <c r="C187" s="1" t="s">
        <v>62</v>
      </c>
      <c r="D187" s="1" t="s">
        <v>22</v>
      </c>
      <c r="E187" s="1" t="s">
        <v>35</v>
      </c>
      <c r="F187" s="1" t="s">
        <v>49</v>
      </c>
      <c r="G187">
        <v>259.5</v>
      </c>
      <c r="H187">
        <v>10</v>
      </c>
      <c r="I187">
        <v>0.5</v>
      </c>
      <c r="J187">
        <v>-112.42</v>
      </c>
      <c r="K187" t="str">
        <f>_xlfn.XLOOKUP(Order_ID_Order[[#This Row],[Region]],'Analysis Dashboard'!O$2:O$5,'Analysis Dashboard'!P$2:P$5)</f>
        <v>Priya Sharma</v>
      </c>
      <c r="L187" t="str">
        <f t="shared" si="2"/>
        <v>31-40%</v>
      </c>
    </row>
    <row r="188" spans="1:12" x14ac:dyDescent="0.25">
      <c r="A188" s="1" t="s">
        <v>237</v>
      </c>
      <c r="B188" s="2">
        <v>45946</v>
      </c>
      <c r="C188" s="1" t="s">
        <v>34</v>
      </c>
      <c r="D188" s="1" t="s">
        <v>22</v>
      </c>
      <c r="E188" s="1" t="s">
        <v>23</v>
      </c>
      <c r="F188" s="1" t="s">
        <v>60</v>
      </c>
      <c r="G188">
        <v>72.53</v>
      </c>
      <c r="H188">
        <v>2</v>
      </c>
      <c r="I188">
        <v>0.2</v>
      </c>
      <c r="J188">
        <v>-0.98</v>
      </c>
      <c r="K188" t="str">
        <f>_xlfn.XLOOKUP(Order_ID_Order[[#This Row],[Region]],'Analysis Dashboard'!O$2:O$5,'Analysis Dashboard'!P$2:P$5)</f>
        <v>Neha Singh</v>
      </c>
      <c r="L188" t="str">
        <f t="shared" si="2"/>
        <v>11-20%</v>
      </c>
    </row>
    <row r="189" spans="1:12" x14ac:dyDescent="0.25">
      <c r="A189" s="1" t="s">
        <v>238</v>
      </c>
      <c r="B189" s="2">
        <v>45543</v>
      </c>
      <c r="C189" s="1" t="s">
        <v>11</v>
      </c>
      <c r="D189" s="1" t="s">
        <v>22</v>
      </c>
      <c r="E189" s="1" t="s">
        <v>35</v>
      </c>
      <c r="F189" s="1" t="s">
        <v>71</v>
      </c>
      <c r="G189">
        <v>376</v>
      </c>
      <c r="H189">
        <v>8</v>
      </c>
      <c r="I189">
        <v>0.2</v>
      </c>
      <c r="J189">
        <v>-12.31</v>
      </c>
      <c r="K189" t="str">
        <f>_xlfn.XLOOKUP(Order_ID_Order[[#This Row],[Region]],'Analysis Dashboard'!O$2:O$5,'Analysis Dashboard'!P$2:P$5)</f>
        <v>Rahul Verma</v>
      </c>
      <c r="L189" t="str">
        <f t="shared" si="2"/>
        <v>11-20%</v>
      </c>
    </row>
    <row r="190" spans="1:12" x14ac:dyDescent="0.25">
      <c r="A190" s="1" t="s">
        <v>239</v>
      </c>
      <c r="B190" s="2">
        <v>45711</v>
      </c>
      <c r="C190" s="1" t="s">
        <v>11</v>
      </c>
      <c r="D190" s="1" t="s">
        <v>22</v>
      </c>
      <c r="E190" s="1" t="s">
        <v>76</v>
      </c>
      <c r="F190" s="1" t="s">
        <v>30</v>
      </c>
      <c r="G190">
        <v>58.63</v>
      </c>
      <c r="H190">
        <v>2</v>
      </c>
      <c r="I190">
        <v>0.4</v>
      </c>
      <c r="J190">
        <v>-17.309999999999999</v>
      </c>
      <c r="K190" t="str">
        <f>_xlfn.XLOOKUP(Order_ID_Order[[#This Row],[Region]],'Analysis Dashboard'!O$2:O$5,'Analysis Dashboard'!P$2:P$5)</f>
        <v>Rahul Verma</v>
      </c>
      <c r="L190" t="str">
        <f t="shared" si="2"/>
        <v>31-40%</v>
      </c>
    </row>
    <row r="191" spans="1:12" x14ac:dyDescent="0.25">
      <c r="A191" s="1" t="s">
        <v>240</v>
      </c>
      <c r="B191" s="2">
        <v>45532</v>
      </c>
      <c r="C191" s="1" t="s">
        <v>11</v>
      </c>
      <c r="D191" s="1" t="s">
        <v>18</v>
      </c>
      <c r="E191" s="1" t="s">
        <v>43</v>
      </c>
      <c r="F191" s="1" t="s">
        <v>58</v>
      </c>
      <c r="G191">
        <v>1668.06</v>
      </c>
      <c r="H191">
        <v>6</v>
      </c>
      <c r="I191">
        <v>0</v>
      </c>
      <c r="J191">
        <v>657.19</v>
      </c>
      <c r="K191" t="str">
        <f>_xlfn.XLOOKUP(Order_ID_Order[[#This Row],[Region]],'Analysis Dashboard'!O$2:O$5,'Analysis Dashboard'!P$2:P$5)</f>
        <v>Rahul Verma</v>
      </c>
      <c r="L191" t="str">
        <f t="shared" si="2"/>
        <v>0-10%</v>
      </c>
    </row>
    <row r="192" spans="1:12" x14ac:dyDescent="0.25">
      <c r="A192" s="1" t="s">
        <v>241</v>
      </c>
      <c r="B192" s="2">
        <v>45391</v>
      </c>
      <c r="C192" s="1" t="s">
        <v>62</v>
      </c>
      <c r="D192" s="1" t="s">
        <v>18</v>
      </c>
      <c r="E192" s="1" t="s">
        <v>81</v>
      </c>
      <c r="F192" s="1" t="s">
        <v>96</v>
      </c>
      <c r="G192">
        <v>3260.12</v>
      </c>
      <c r="H192">
        <v>7</v>
      </c>
      <c r="I192">
        <v>0.15</v>
      </c>
      <c r="J192">
        <v>634.29</v>
      </c>
      <c r="K192" t="str">
        <f>_xlfn.XLOOKUP(Order_ID_Order[[#This Row],[Region]],'Analysis Dashboard'!O$2:O$5,'Analysis Dashboard'!P$2:P$5)</f>
        <v>Priya Sharma</v>
      </c>
      <c r="L192" t="str">
        <f t="shared" si="2"/>
        <v>11-20%</v>
      </c>
    </row>
    <row r="193" spans="1:12" x14ac:dyDescent="0.25">
      <c r="A193" s="1" t="s">
        <v>242</v>
      </c>
      <c r="B193" s="2">
        <v>45443</v>
      </c>
      <c r="C193" s="1" t="s">
        <v>11</v>
      </c>
      <c r="D193" s="1" t="s">
        <v>26</v>
      </c>
      <c r="E193" s="1" t="s">
        <v>12</v>
      </c>
      <c r="F193" s="1" t="s">
        <v>28</v>
      </c>
      <c r="G193">
        <v>2067.91</v>
      </c>
      <c r="H193">
        <v>9</v>
      </c>
      <c r="I193">
        <v>0.3</v>
      </c>
      <c r="J193">
        <v>-574.51</v>
      </c>
      <c r="K193" t="str">
        <f>_xlfn.XLOOKUP(Order_ID_Order[[#This Row],[Region]],'Analysis Dashboard'!O$2:O$5,'Analysis Dashboard'!P$2:P$5)</f>
        <v>Rahul Verma</v>
      </c>
      <c r="L193" t="str">
        <f t="shared" si="2"/>
        <v>21-30%</v>
      </c>
    </row>
    <row r="194" spans="1:12" x14ac:dyDescent="0.25">
      <c r="A194" s="1" t="s">
        <v>243</v>
      </c>
      <c r="B194" s="2">
        <v>45677</v>
      </c>
      <c r="C194" s="1" t="s">
        <v>62</v>
      </c>
      <c r="D194" s="1" t="s">
        <v>22</v>
      </c>
      <c r="E194" s="1" t="s">
        <v>76</v>
      </c>
      <c r="F194" s="1" t="s">
        <v>30</v>
      </c>
      <c r="G194">
        <v>594.98</v>
      </c>
      <c r="H194">
        <v>7</v>
      </c>
      <c r="I194">
        <v>0.05</v>
      </c>
      <c r="J194">
        <v>98.47</v>
      </c>
      <c r="K194" t="str">
        <f>_xlfn.XLOOKUP(Order_ID_Order[[#This Row],[Region]],'Analysis Dashboard'!O$2:O$5,'Analysis Dashboard'!P$2:P$5)</f>
        <v>Priya Sharma</v>
      </c>
      <c r="L194" t="str">
        <f t="shared" ref="L194:L257" si="3">IF(I194&lt;=0.1,"0-10%",IF(I194&lt;=0.2,"11-20%",IF(I194&lt;=0.3,"21-30%","31-40%")))</f>
        <v>0-10%</v>
      </c>
    </row>
    <row r="195" spans="1:12" x14ac:dyDescent="0.25">
      <c r="A195" s="1" t="s">
        <v>244</v>
      </c>
      <c r="B195" s="2">
        <v>45916</v>
      </c>
      <c r="C195" s="1" t="s">
        <v>122</v>
      </c>
      <c r="D195" s="1" t="s">
        <v>26</v>
      </c>
      <c r="E195" s="1" t="s">
        <v>12</v>
      </c>
      <c r="F195" s="1" t="s">
        <v>85</v>
      </c>
      <c r="G195">
        <v>341.54</v>
      </c>
      <c r="H195">
        <v>4</v>
      </c>
      <c r="I195">
        <v>0.05</v>
      </c>
      <c r="J195">
        <v>18.600000000000001</v>
      </c>
      <c r="K195" t="str">
        <f>_xlfn.XLOOKUP(Order_ID_Order[[#This Row],[Region]],'Analysis Dashboard'!O$2:O$5,'Analysis Dashboard'!P$2:P$5)</f>
        <v>Ankit Gupta</v>
      </c>
      <c r="L195" t="str">
        <f t="shared" si="3"/>
        <v>0-10%</v>
      </c>
    </row>
    <row r="196" spans="1:12" x14ac:dyDescent="0.25">
      <c r="A196" s="1" t="s">
        <v>245</v>
      </c>
      <c r="B196" s="2">
        <v>45802</v>
      </c>
      <c r="C196" s="1" t="s">
        <v>34</v>
      </c>
      <c r="D196" s="1" t="s">
        <v>22</v>
      </c>
      <c r="E196" s="1" t="s">
        <v>48</v>
      </c>
      <c r="F196" s="1" t="s">
        <v>49</v>
      </c>
      <c r="G196">
        <v>513.30999999999995</v>
      </c>
      <c r="H196">
        <v>10</v>
      </c>
      <c r="I196">
        <v>0.3</v>
      </c>
      <c r="J196">
        <v>-75.260000000000005</v>
      </c>
      <c r="K196" t="str">
        <f>_xlfn.XLOOKUP(Order_ID_Order[[#This Row],[Region]],'Analysis Dashboard'!O$2:O$5,'Analysis Dashboard'!P$2:P$5)</f>
        <v>Neha Singh</v>
      </c>
      <c r="L196" t="str">
        <f t="shared" si="3"/>
        <v>21-30%</v>
      </c>
    </row>
    <row r="197" spans="1:12" x14ac:dyDescent="0.25">
      <c r="A197" s="1" t="s">
        <v>246</v>
      </c>
      <c r="B197" s="2">
        <v>45931</v>
      </c>
      <c r="C197" s="1" t="s">
        <v>62</v>
      </c>
      <c r="D197" s="1" t="s">
        <v>22</v>
      </c>
      <c r="E197" s="1" t="s">
        <v>35</v>
      </c>
      <c r="F197" s="1" t="s">
        <v>30</v>
      </c>
      <c r="G197">
        <v>423.6</v>
      </c>
      <c r="H197">
        <v>8</v>
      </c>
      <c r="I197">
        <v>0</v>
      </c>
      <c r="J197">
        <v>108.2</v>
      </c>
      <c r="K197" t="str">
        <f>_xlfn.XLOOKUP(Order_ID_Order[[#This Row],[Region]],'Analysis Dashboard'!O$2:O$5,'Analysis Dashboard'!P$2:P$5)</f>
        <v>Priya Sharma</v>
      </c>
      <c r="L197" t="str">
        <f t="shared" si="3"/>
        <v>0-10%</v>
      </c>
    </row>
    <row r="198" spans="1:12" x14ac:dyDescent="0.25">
      <c r="A198" s="1" t="s">
        <v>247</v>
      </c>
      <c r="B198" s="2">
        <v>45319</v>
      </c>
      <c r="C198" s="1" t="s">
        <v>62</v>
      </c>
      <c r="D198" s="1" t="s">
        <v>22</v>
      </c>
      <c r="E198" s="1" t="s">
        <v>15</v>
      </c>
      <c r="F198" s="1" t="s">
        <v>24</v>
      </c>
      <c r="G198">
        <v>76.78</v>
      </c>
      <c r="H198">
        <v>1</v>
      </c>
      <c r="I198">
        <v>0.1</v>
      </c>
      <c r="J198">
        <v>9.82</v>
      </c>
      <c r="K198" t="str">
        <f>_xlfn.XLOOKUP(Order_ID_Order[[#This Row],[Region]],'Analysis Dashboard'!O$2:O$5,'Analysis Dashboard'!P$2:P$5)</f>
        <v>Priya Sharma</v>
      </c>
      <c r="L198" t="str">
        <f t="shared" si="3"/>
        <v>0-10%</v>
      </c>
    </row>
    <row r="199" spans="1:12" x14ac:dyDescent="0.25">
      <c r="A199" s="1" t="s">
        <v>166</v>
      </c>
      <c r="B199" s="2">
        <v>45639</v>
      </c>
      <c r="C199" s="1" t="s">
        <v>34</v>
      </c>
      <c r="D199" s="1" t="s">
        <v>22</v>
      </c>
      <c r="E199" s="1" t="s">
        <v>15</v>
      </c>
      <c r="F199" s="1" t="s">
        <v>30</v>
      </c>
      <c r="G199">
        <v>127.35</v>
      </c>
      <c r="H199">
        <v>2</v>
      </c>
      <c r="I199">
        <v>0.1</v>
      </c>
      <c r="J199">
        <v>17.149999999999999</v>
      </c>
      <c r="K199" t="str">
        <f>_xlfn.XLOOKUP(Order_ID_Order[[#This Row],[Region]],'Analysis Dashboard'!O$2:O$5,'Analysis Dashboard'!P$2:P$5)</f>
        <v>Neha Singh</v>
      </c>
      <c r="L199" t="str">
        <f t="shared" si="3"/>
        <v>0-10%</v>
      </c>
    </row>
    <row r="200" spans="1:12" x14ac:dyDescent="0.25">
      <c r="A200" s="1" t="s">
        <v>248</v>
      </c>
      <c r="B200" s="2">
        <v>45783</v>
      </c>
      <c r="C200" s="1" t="s">
        <v>34</v>
      </c>
      <c r="D200" s="1" t="s">
        <v>18</v>
      </c>
      <c r="E200" s="1" t="s">
        <v>43</v>
      </c>
      <c r="F200" s="1" t="s">
        <v>32</v>
      </c>
      <c r="G200">
        <v>3118.92</v>
      </c>
      <c r="H200">
        <v>6</v>
      </c>
      <c r="I200">
        <v>0.5</v>
      </c>
      <c r="J200">
        <v>-936.6</v>
      </c>
      <c r="K200" t="str">
        <f>_xlfn.XLOOKUP(Order_ID_Order[[#This Row],[Region]],'Analysis Dashboard'!O$2:O$5,'Analysis Dashboard'!P$2:P$5)</f>
        <v>Neha Singh</v>
      </c>
      <c r="L200" t="str">
        <f t="shared" si="3"/>
        <v>31-40%</v>
      </c>
    </row>
    <row r="201" spans="1:12" x14ac:dyDescent="0.25">
      <c r="A201" s="1" t="s">
        <v>249</v>
      </c>
      <c r="B201" s="2">
        <v>45968</v>
      </c>
      <c r="C201" s="1" t="s">
        <v>122</v>
      </c>
      <c r="D201" s="1" t="s">
        <v>18</v>
      </c>
      <c r="E201" s="1" t="s">
        <v>95</v>
      </c>
      <c r="F201" s="1" t="s">
        <v>56</v>
      </c>
      <c r="G201">
        <v>1080.57</v>
      </c>
      <c r="H201">
        <v>3</v>
      </c>
      <c r="I201">
        <v>0</v>
      </c>
      <c r="J201">
        <v>408.54</v>
      </c>
      <c r="K201" t="str">
        <f>_xlfn.XLOOKUP(Order_ID_Order[[#This Row],[Region]],'Analysis Dashboard'!O$2:O$5,'Analysis Dashboard'!P$2:P$5)</f>
        <v>Ankit Gupta</v>
      </c>
      <c r="L201" t="str">
        <f t="shared" si="3"/>
        <v>0-10%</v>
      </c>
    </row>
    <row r="202" spans="1:12" x14ac:dyDescent="0.25">
      <c r="A202" s="1" t="s">
        <v>250</v>
      </c>
      <c r="B202" s="2">
        <v>45372</v>
      </c>
      <c r="C202" s="1" t="s">
        <v>122</v>
      </c>
      <c r="D202" s="1" t="s">
        <v>18</v>
      </c>
      <c r="E202" s="1" t="s">
        <v>19</v>
      </c>
      <c r="F202" s="1" t="s">
        <v>32</v>
      </c>
      <c r="G202">
        <v>141.80000000000001</v>
      </c>
      <c r="H202">
        <v>1</v>
      </c>
      <c r="I202">
        <v>0.1</v>
      </c>
      <c r="J202">
        <v>32.29</v>
      </c>
      <c r="K202" t="str">
        <f>_xlfn.XLOOKUP(Order_ID_Order[[#This Row],[Region]],'Analysis Dashboard'!O$2:O$5,'Analysis Dashboard'!P$2:P$5)</f>
        <v>Ankit Gupta</v>
      </c>
      <c r="L202" t="str">
        <f t="shared" si="3"/>
        <v>0-10%</v>
      </c>
    </row>
    <row r="203" spans="1:12" x14ac:dyDescent="0.25">
      <c r="A203" s="1" t="s">
        <v>251</v>
      </c>
      <c r="B203" s="2">
        <v>45858</v>
      </c>
      <c r="C203" s="1" t="s">
        <v>62</v>
      </c>
      <c r="D203" s="1" t="s">
        <v>22</v>
      </c>
      <c r="E203" s="1" t="s">
        <v>35</v>
      </c>
      <c r="F203" s="1" t="s">
        <v>16</v>
      </c>
      <c r="G203">
        <v>387.94</v>
      </c>
      <c r="H203">
        <v>5</v>
      </c>
      <c r="I203">
        <v>0.3</v>
      </c>
      <c r="J203">
        <v>-65.89</v>
      </c>
      <c r="K203" t="str">
        <f>_xlfn.XLOOKUP(Order_ID_Order[[#This Row],[Region]],'Analysis Dashboard'!O$2:O$5,'Analysis Dashboard'!P$2:P$5)</f>
        <v>Priya Sharma</v>
      </c>
      <c r="L203" t="str">
        <f t="shared" si="3"/>
        <v>21-30%</v>
      </c>
    </row>
    <row r="204" spans="1:12" x14ac:dyDescent="0.25">
      <c r="A204" s="1" t="s">
        <v>252</v>
      </c>
      <c r="B204" s="2">
        <v>45300</v>
      </c>
      <c r="C204" s="1" t="s">
        <v>11</v>
      </c>
      <c r="D204" s="1" t="s">
        <v>18</v>
      </c>
      <c r="E204" s="1" t="s">
        <v>95</v>
      </c>
      <c r="F204" s="1" t="s">
        <v>37</v>
      </c>
      <c r="G204">
        <v>2349.42</v>
      </c>
      <c r="H204">
        <v>6</v>
      </c>
      <c r="I204">
        <v>0</v>
      </c>
      <c r="J204">
        <v>854.51</v>
      </c>
      <c r="K204" t="str">
        <f>_xlfn.XLOOKUP(Order_ID_Order[[#This Row],[Region]],'Analysis Dashboard'!O$2:O$5,'Analysis Dashboard'!P$2:P$5)</f>
        <v>Rahul Verma</v>
      </c>
      <c r="L204" t="str">
        <f t="shared" si="3"/>
        <v>0-10%</v>
      </c>
    </row>
    <row r="205" spans="1:12" x14ac:dyDescent="0.25">
      <c r="A205" s="1" t="s">
        <v>253</v>
      </c>
      <c r="B205" s="2">
        <v>45393</v>
      </c>
      <c r="C205" s="1" t="s">
        <v>11</v>
      </c>
      <c r="D205" s="1" t="s">
        <v>22</v>
      </c>
      <c r="E205" s="1" t="s">
        <v>48</v>
      </c>
      <c r="F205" s="1" t="s">
        <v>16</v>
      </c>
      <c r="G205">
        <v>409.32</v>
      </c>
      <c r="H205">
        <v>9</v>
      </c>
      <c r="I205">
        <v>0</v>
      </c>
      <c r="J205">
        <v>96.71</v>
      </c>
      <c r="K205" t="str">
        <f>_xlfn.XLOOKUP(Order_ID_Order[[#This Row],[Region]],'Analysis Dashboard'!O$2:O$5,'Analysis Dashboard'!P$2:P$5)</f>
        <v>Rahul Verma</v>
      </c>
      <c r="L205" t="str">
        <f t="shared" si="3"/>
        <v>0-10%</v>
      </c>
    </row>
    <row r="206" spans="1:12" x14ac:dyDescent="0.25">
      <c r="A206" s="1" t="s">
        <v>254</v>
      </c>
      <c r="B206" s="2">
        <v>45387</v>
      </c>
      <c r="C206" s="1" t="s">
        <v>34</v>
      </c>
      <c r="D206" s="1" t="s">
        <v>26</v>
      </c>
      <c r="E206" s="1" t="s">
        <v>53</v>
      </c>
      <c r="F206" s="1" t="s">
        <v>85</v>
      </c>
      <c r="G206">
        <v>418.6</v>
      </c>
      <c r="H206">
        <v>4</v>
      </c>
      <c r="I206">
        <v>0.5</v>
      </c>
      <c r="J206">
        <v>-233.18</v>
      </c>
      <c r="K206" t="str">
        <f>_xlfn.XLOOKUP(Order_ID_Order[[#This Row],[Region]],'Analysis Dashboard'!O$2:O$5,'Analysis Dashboard'!P$2:P$5)</f>
        <v>Neha Singh</v>
      </c>
      <c r="L206" t="str">
        <f t="shared" si="3"/>
        <v>31-40%</v>
      </c>
    </row>
    <row r="207" spans="1:12" x14ac:dyDescent="0.25">
      <c r="A207" s="1" t="s">
        <v>255</v>
      </c>
      <c r="B207" s="2">
        <v>45847</v>
      </c>
      <c r="C207" s="1" t="s">
        <v>122</v>
      </c>
      <c r="D207" s="1" t="s">
        <v>18</v>
      </c>
      <c r="E207" s="1" t="s">
        <v>43</v>
      </c>
      <c r="F207" s="1" t="s">
        <v>56</v>
      </c>
      <c r="G207">
        <v>5653.02</v>
      </c>
      <c r="H207">
        <v>10</v>
      </c>
      <c r="I207">
        <v>0.4</v>
      </c>
      <c r="J207">
        <v>-863.53</v>
      </c>
      <c r="K207" t="str">
        <f>_xlfn.XLOOKUP(Order_ID_Order[[#This Row],[Region]],'Analysis Dashboard'!O$2:O$5,'Analysis Dashboard'!P$2:P$5)</f>
        <v>Ankit Gupta</v>
      </c>
      <c r="L207" t="str">
        <f t="shared" si="3"/>
        <v>31-40%</v>
      </c>
    </row>
    <row r="208" spans="1:12" x14ac:dyDescent="0.25">
      <c r="A208" s="1" t="s">
        <v>256</v>
      </c>
      <c r="B208" s="2">
        <v>45694</v>
      </c>
      <c r="C208" s="1" t="s">
        <v>62</v>
      </c>
      <c r="D208" s="1" t="s">
        <v>18</v>
      </c>
      <c r="E208" s="1" t="s">
        <v>95</v>
      </c>
      <c r="F208" s="1" t="s">
        <v>37</v>
      </c>
      <c r="G208">
        <v>5961.65</v>
      </c>
      <c r="H208">
        <v>5</v>
      </c>
      <c r="I208">
        <v>0</v>
      </c>
      <c r="J208">
        <v>2379.4</v>
      </c>
      <c r="K208" t="str">
        <f>_xlfn.XLOOKUP(Order_ID_Order[[#This Row],[Region]],'Analysis Dashboard'!O$2:O$5,'Analysis Dashboard'!P$2:P$5)</f>
        <v>Priya Sharma</v>
      </c>
      <c r="L208" t="str">
        <f t="shared" si="3"/>
        <v>0-10%</v>
      </c>
    </row>
    <row r="209" spans="1:12" x14ac:dyDescent="0.25">
      <c r="A209" s="1" t="s">
        <v>257</v>
      </c>
      <c r="B209" s="2">
        <v>45907</v>
      </c>
      <c r="C209" s="1" t="s">
        <v>34</v>
      </c>
      <c r="D209" s="1" t="s">
        <v>18</v>
      </c>
      <c r="E209" s="1" t="s">
        <v>95</v>
      </c>
      <c r="F209" s="1" t="s">
        <v>58</v>
      </c>
      <c r="G209">
        <v>370.21</v>
      </c>
      <c r="H209">
        <v>2</v>
      </c>
      <c r="I209">
        <v>0.4</v>
      </c>
      <c r="J209">
        <v>-60.09</v>
      </c>
      <c r="K209" t="str">
        <f>_xlfn.XLOOKUP(Order_ID_Order[[#This Row],[Region]],'Analysis Dashboard'!O$2:O$5,'Analysis Dashboard'!P$2:P$5)</f>
        <v>Neha Singh</v>
      </c>
      <c r="L209" t="str">
        <f t="shared" si="3"/>
        <v>31-40%</v>
      </c>
    </row>
    <row r="210" spans="1:12" x14ac:dyDescent="0.25">
      <c r="A210" s="1" t="s">
        <v>258</v>
      </c>
      <c r="B210" s="2">
        <v>45950</v>
      </c>
      <c r="C210" s="1" t="s">
        <v>11</v>
      </c>
      <c r="D210" s="1" t="s">
        <v>22</v>
      </c>
      <c r="E210" s="1" t="s">
        <v>15</v>
      </c>
      <c r="F210" s="1" t="s">
        <v>64</v>
      </c>
      <c r="G210">
        <v>634.14</v>
      </c>
      <c r="H210">
        <v>7</v>
      </c>
      <c r="I210">
        <v>0.05</v>
      </c>
      <c r="J210">
        <v>120.54</v>
      </c>
      <c r="K210" t="str">
        <f>_xlfn.XLOOKUP(Order_ID_Order[[#This Row],[Region]],'Analysis Dashboard'!O$2:O$5,'Analysis Dashboard'!P$2:P$5)</f>
        <v>Rahul Verma</v>
      </c>
      <c r="L210" t="str">
        <f t="shared" si="3"/>
        <v>0-10%</v>
      </c>
    </row>
    <row r="211" spans="1:12" x14ac:dyDescent="0.25">
      <c r="A211" s="1" t="s">
        <v>259</v>
      </c>
      <c r="B211" s="2">
        <v>45608</v>
      </c>
      <c r="C211" s="1" t="s">
        <v>11</v>
      </c>
      <c r="D211" s="1" t="s">
        <v>22</v>
      </c>
      <c r="E211" s="1" t="s">
        <v>76</v>
      </c>
      <c r="F211" s="1" t="s">
        <v>39</v>
      </c>
      <c r="G211">
        <v>148.22999999999999</v>
      </c>
      <c r="H211">
        <v>10</v>
      </c>
      <c r="I211">
        <v>0.1</v>
      </c>
      <c r="J211">
        <v>18.29</v>
      </c>
      <c r="K211" t="str">
        <f>_xlfn.XLOOKUP(Order_ID_Order[[#This Row],[Region]],'Analysis Dashboard'!O$2:O$5,'Analysis Dashboard'!P$2:P$5)</f>
        <v>Rahul Verma</v>
      </c>
      <c r="L211" t="str">
        <f t="shared" si="3"/>
        <v>0-10%</v>
      </c>
    </row>
    <row r="212" spans="1:12" x14ac:dyDescent="0.25">
      <c r="A212" s="1" t="s">
        <v>260</v>
      </c>
      <c r="B212" s="2">
        <v>45444</v>
      </c>
      <c r="C212" s="1" t="s">
        <v>62</v>
      </c>
      <c r="D212" s="1" t="s">
        <v>18</v>
      </c>
      <c r="E212" s="1" t="s">
        <v>95</v>
      </c>
      <c r="F212" s="1" t="s">
        <v>41</v>
      </c>
      <c r="G212">
        <v>1287.77</v>
      </c>
      <c r="H212">
        <v>5</v>
      </c>
      <c r="I212">
        <v>0.05</v>
      </c>
      <c r="J212">
        <v>406.58</v>
      </c>
      <c r="K212" t="str">
        <f>_xlfn.XLOOKUP(Order_ID_Order[[#This Row],[Region]],'Analysis Dashboard'!O$2:O$5,'Analysis Dashboard'!P$2:P$5)</f>
        <v>Priya Sharma</v>
      </c>
      <c r="L212" t="str">
        <f t="shared" si="3"/>
        <v>0-10%</v>
      </c>
    </row>
    <row r="213" spans="1:12" x14ac:dyDescent="0.25">
      <c r="A213" s="1" t="s">
        <v>261</v>
      </c>
      <c r="B213" s="2">
        <v>45816</v>
      </c>
      <c r="C213" s="1" t="s">
        <v>11</v>
      </c>
      <c r="D213" s="1" t="s">
        <v>26</v>
      </c>
      <c r="E213" s="1" t="s">
        <v>66</v>
      </c>
      <c r="F213" s="1" t="s">
        <v>128</v>
      </c>
      <c r="G213">
        <v>283.10000000000002</v>
      </c>
      <c r="H213">
        <v>2</v>
      </c>
      <c r="I213">
        <v>0.1</v>
      </c>
      <c r="J213">
        <v>-4.97</v>
      </c>
      <c r="K213" t="str">
        <f>_xlfn.XLOOKUP(Order_ID_Order[[#This Row],[Region]],'Analysis Dashboard'!O$2:O$5,'Analysis Dashboard'!P$2:P$5)</f>
        <v>Rahul Verma</v>
      </c>
      <c r="L213" t="str">
        <f t="shared" si="3"/>
        <v>0-10%</v>
      </c>
    </row>
    <row r="214" spans="1:12" x14ac:dyDescent="0.25">
      <c r="A214" s="1" t="s">
        <v>262</v>
      </c>
      <c r="B214" s="2">
        <v>45635</v>
      </c>
      <c r="C214" s="1" t="s">
        <v>34</v>
      </c>
      <c r="D214" s="1" t="s">
        <v>18</v>
      </c>
      <c r="E214" s="1" t="s">
        <v>43</v>
      </c>
      <c r="F214" s="1" t="s">
        <v>41</v>
      </c>
      <c r="G214">
        <v>4538.92</v>
      </c>
      <c r="H214">
        <v>9</v>
      </c>
      <c r="I214">
        <v>0.4</v>
      </c>
      <c r="J214">
        <v>-741.98</v>
      </c>
      <c r="K214" t="str">
        <f>_xlfn.XLOOKUP(Order_ID_Order[[#This Row],[Region]],'Analysis Dashboard'!O$2:O$5,'Analysis Dashboard'!P$2:P$5)</f>
        <v>Neha Singh</v>
      </c>
      <c r="L214" t="str">
        <f t="shared" si="3"/>
        <v>31-40%</v>
      </c>
    </row>
    <row r="215" spans="1:12" x14ac:dyDescent="0.25">
      <c r="A215" s="1" t="s">
        <v>263</v>
      </c>
      <c r="B215" s="2">
        <v>45622</v>
      </c>
      <c r="C215" s="1" t="s">
        <v>11</v>
      </c>
      <c r="D215" s="1" t="s">
        <v>22</v>
      </c>
      <c r="E215" s="1" t="s">
        <v>35</v>
      </c>
      <c r="F215" s="1" t="s">
        <v>64</v>
      </c>
      <c r="G215">
        <v>726.9</v>
      </c>
      <c r="H215">
        <v>10</v>
      </c>
      <c r="I215">
        <v>0</v>
      </c>
      <c r="J215">
        <v>193.05</v>
      </c>
      <c r="K215" t="str">
        <f>_xlfn.XLOOKUP(Order_ID_Order[[#This Row],[Region]],'Analysis Dashboard'!O$2:O$5,'Analysis Dashboard'!P$2:P$5)</f>
        <v>Rahul Verma</v>
      </c>
      <c r="L215" t="str">
        <f t="shared" si="3"/>
        <v>0-10%</v>
      </c>
    </row>
    <row r="216" spans="1:12" x14ac:dyDescent="0.25">
      <c r="A216" s="1" t="s">
        <v>264</v>
      </c>
      <c r="B216" s="2">
        <v>46021</v>
      </c>
      <c r="C216" s="1" t="s">
        <v>62</v>
      </c>
      <c r="D216" s="1" t="s">
        <v>18</v>
      </c>
      <c r="E216" s="1" t="s">
        <v>43</v>
      </c>
      <c r="F216" s="1" t="s">
        <v>37</v>
      </c>
      <c r="G216">
        <v>998.94</v>
      </c>
      <c r="H216">
        <v>2</v>
      </c>
      <c r="I216">
        <v>0.3</v>
      </c>
      <c r="J216">
        <v>-39.6</v>
      </c>
      <c r="K216" t="str">
        <f>_xlfn.XLOOKUP(Order_ID_Order[[#This Row],[Region]],'Analysis Dashboard'!O$2:O$5,'Analysis Dashboard'!P$2:P$5)</f>
        <v>Priya Sharma</v>
      </c>
      <c r="L216" t="str">
        <f t="shared" si="3"/>
        <v>21-30%</v>
      </c>
    </row>
    <row r="217" spans="1:12" x14ac:dyDescent="0.25">
      <c r="A217" s="1" t="s">
        <v>265</v>
      </c>
      <c r="B217" s="2">
        <v>45312</v>
      </c>
      <c r="C217" s="1" t="s">
        <v>122</v>
      </c>
      <c r="D217" s="1" t="s">
        <v>26</v>
      </c>
      <c r="E217" s="1" t="s">
        <v>53</v>
      </c>
      <c r="F217" s="1" t="s">
        <v>85</v>
      </c>
      <c r="G217">
        <v>734.68</v>
      </c>
      <c r="H217">
        <v>2</v>
      </c>
      <c r="I217">
        <v>0.3</v>
      </c>
      <c r="J217">
        <v>-215.91</v>
      </c>
      <c r="K217" t="str">
        <f>_xlfn.XLOOKUP(Order_ID_Order[[#This Row],[Region]],'Analysis Dashboard'!O$2:O$5,'Analysis Dashboard'!P$2:P$5)</f>
        <v>Ankit Gupta</v>
      </c>
      <c r="L217" t="str">
        <f t="shared" si="3"/>
        <v>21-30%</v>
      </c>
    </row>
    <row r="218" spans="1:12" x14ac:dyDescent="0.25">
      <c r="A218" s="1" t="s">
        <v>266</v>
      </c>
      <c r="B218" s="2">
        <v>45475</v>
      </c>
      <c r="C218" s="1" t="s">
        <v>34</v>
      </c>
      <c r="D218" s="1" t="s">
        <v>18</v>
      </c>
      <c r="E218" s="1" t="s">
        <v>43</v>
      </c>
      <c r="F218" s="1" t="s">
        <v>58</v>
      </c>
      <c r="G218">
        <v>4595.33</v>
      </c>
      <c r="H218">
        <v>8</v>
      </c>
      <c r="I218">
        <v>0.1</v>
      </c>
      <c r="J218">
        <v>1127.9100000000001</v>
      </c>
      <c r="K218" t="str">
        <f>_xlfn.XLOOKUP(Order_ID_Order[[#This Row],[Region]],'Analysis Dashboard'!O$2:O$5,'Analysis Dashboard'!P$2:P$5)</f>
        <v>Neha Singh</v>
      </c>
      <c r="L218" t="str">
        <f t="shared" si="3"/>
        <v>0-10%</v>
      </c>
    </row>
    <row r="219" spans="1:12" x14ac:dyDescent="0.25">
      <c r="A219" s="1" t="s">
        <v>267</v>
      </c>
      <c r="B219" s="2">
        <v>45963</v>
      </c>
      <c r="C219" s="1" t="s">
        <v>34</v>
      </c>
      <c r="D219" s="1" t="s">
        <v>22</v>
      </c>
      <c r="E219" s="1" t="s">
        <v>48</v>
      </c>
      <c r="F219" s="1" t="s">
        <v>16</v>
      </c>
      <c r="G219">
        <v>382.14</v>
      </c>
      <c r="H219">
        <v>7</v>
      </c>
      <c r="I219">
        <v>0.2</v>
      </c>
      <c r="J219">
        <v>-5.36</v>
      </c>
      <c r="K219" t="str">
        <f>_xlfn.XLOOKUP(Order_ID_Order[[#This Row],[Region]],'Analysis Dashboard'!O$2:O$5,'Analysis Dashboard'!P$2:P$5)</f>
        <v>Neha Singh</v>
      </c>
      <c r="L219" t="str">
        <f t="shared" si="3"/>
        <v>11-20%</v>
      </c>
    </row>
    <row r="220" spans="1:12" x14ac:dyDescent="0.25">
      <c r="A220" s="1" t="s">
        <v>268</v>
      </c>
      <c r="B220" s="2">
        <v>45510</v>
      </c>
      <c r="C220" s="1" t="s">
        <v>11</v>
      </c>
      <c r="D220" s="1" t="s">
        <v>22</v>
      </c>
      <c r="E220" s="1" t="s">
        <v>15</v>
      </c>
      <c r="F220" s="1" t="s">
        <v>71</v>
      </c>
      <c r="G220">
        <v>862.65</v>
      </c>
      <c r="H220">
        <v>9</v>
      </c>
      <c r="I220">
        <v>0</v>
      </c>
      <c r="J220">
        <v>211.7</v>
      </c>
      <c r="K220" t="str">
        <f>_xlfn.XLOOKUP(Order_ID_Order[[#This Row],[Region]],'Analysis Dashboard'!O$2:O$5,'Analysis Dashboard'!P$2:P$5)</f>
        <v>Rahul Verma</v>
      </c>
      <c r="L220" t="str">
        <f t="shared" si="3"/>
        <v>0-10%</v>
      </c>
    </row>
    <row r="221" spans="1:12" x14ac:dyDescent="0.25">
      <c r="A221" s="1" t="s">
        <v>269</v>
      </c>
      <c r="B221" s="2">
        <v>45404</v>
      </c>
      <c r="C221" s="1" t="s">
        <v>11</v>
      </c>
      <c r="D221" s="1" t="s">
        <v>26</v>
      </c>
      <c r="E221" s="1" t="s">
        <v>27</v>
      </c>
      <c r="F221" s="1" t="s">
        <v>28</v>
      </c>
      <c r="G221">
        <v>794.4</v>
      </c>
      <c r="H221">
        <v>2</v>
      </c>
      <c r="I221">
        <v>0</v>
      </c>
      <c r="J221">
        <v>94</v>
      </c>
      <c r="K221" t="str">
        <f>_xlfn.XLOOKUP(Order_ID_Order[[#This Row],[Region]],'Analysis Dashboard'!O$2:O$5,'Analysis Dashboard'!P$2:P$5)</f>
        <v>Rahul Verma</v>
      </c>
      <c r="L221" t="str">
        <f t="shared" si="3"/>
        <v>0-10%</v>
      </c>
    </row>
    <row r="222" spans="1:12" x14ac:dyDescent="0.25">
      <c r="A222" s="1" t="s">
        <v>270</v>
      </c>
      <c r="B222" s="2">
        <v>45915</v>
      </c>
      <c r="C222" s="1" t="s">
        <v>122</v>
      </c>
      <c r="D222" s="1" t="s">
        <v>22</v>
      </c>
      <c r="E222" s="1" t="s">
        <v>15</v>
      </c>
      <c r="F222" s="1" t="s">
        <v>64</v>
      </c>
      <c r="G222">
        <v>155.83000000000001</v>
      </c>
      <c r="H222">
        <v>3</v>
      </c>
      <c r="I222">
        <v>0.4</v>
      </c>
      <c r="J222">
        <v>-45.51</v>
      </c>
      <c r="K222" t="str">
        <f>_xlfn.XLOOKUP(Order_ID_Order[[#This Row],[Region]],'Analysis Dashboard'!O$2:O$5,'Analysis Dashboard'!P$2:P$5)</f>
        <v>Ankit Gupta</v>
      </c>
      <c r="L222" t="str">
        <f t="shared" si="3"/>
        <v>31-40%</v>
      </c>
    </row>
    <row r="223" spans="1:12" x14ac:dyDescent="0.25">
      <c r="A223" s="1" t="s">
        <v>271</v>
      </c>
      <c r="B223" s="2">
        <v>45683</v>
      </c>
      <c r="C223" s="1" t="s">
        <v>122</v>
      </c>
      <c r="D223" s="1" t="s">
        <v>22</v>
      </c>
      <c r="E223" s="1" t="s">
        <v>76</v>
      </c>
      <c r="F223" s="1" t="s">
        <v>16</v>
      </c>
      <c r="G223">
        <v>245.12</v>
      </c>
      <c r="H223">
        <v>7</v>
      </c>
      <c r="I223">
        <v>0.05</v>
      </c>
      <c r="J223">
        <v>41.5</v>
      </c>
      <c r="K223" t="str">
        <f>_xlfn.XLOOKUP(Order_ID_Order[[#This Row],[Region]],'Analysis Dashboard'!O$2:O$5,'Analysis Dashboard'!P$2:P$5)</f>
        <v>Ankit Gupta</v>
      </c>
      <c r="L223" t="str">
        <f t="shared" si="3"/>
        <v>0-10%</v>
      </c>
    </row>
    <row r="224" spans="1:12" x14ac:dyDescent="0.25">
      <c r="A224" s="1" t="s">
        <v>272</v>
      </c>
      <c r="B224" s="2">
        <v>45398</v>
      </c>
      <c r="C224" s="1" t="s">
        <v>11</v>
      </c>
      <c r="D224" s="1" t="s">
        <v>18</v>
      </c>
      <c r="E224" s="1" t="s">
        <v>19</v>
      </c>
      <c r="F224" s="1" t="s">
        <v>41</v>
      </c>
      <c r="G224">
        <v>2752.19</v>
      </c>
      <c r="H224">
        <v>2</v>
      </c>
      <c r="I224">
        <v>0.05</v>
      </c>
      <c r="J224">
        <v>812.56</v>
      </c>
      <c r="K224" t="str">
        <f>_xlfn.XLOOKUP(Order_ID_Order[[#This Row],[Region]],'Analysis Dashboard'!O$2:O$5,'Analysis Dashboard'!P$2:P$5)</f>
        <v>Rahul Verma</v>
      </c>
      <c r="L224" t="str">
        <f t="shared" si="3"/>
        <v>0-10%</v>
      </c>
    </row>
    <row r="225" spans="1:12" x14ac:dyDescent="0.25">
      <c r="A225" s="1" t="s">
        <v>273</v>
      </c>
      <c r="B225" s="2">
        <v>45546</v>
      </c>
      <c r="C225" s="1" t="s">
        <v>11</v>
      </c>
      <c r="D225" s="1" t="s">
        <v>18</v>
      </c>
      <c r="E225" s="1" t="s">
        <v>43</v>
      </c>
      <c r="F225" s="1" t="s">
        <v>56</v>
      </c>
      <c r="G225">
        <v>7427.64</v>
      </c>
      <c r="H225">
        <v>8</v>
      </c>
      <c r="I225">
        <v>0.15</v>
      </c>
      <c r="J225">
        <v>1179.55</v>
      </c>
      <c r="K225" t="str">
        <f>_xlfn.XLOOKUP(Order_ID_Order[[#This Row],[Region]],'Analysis Dashboard'!O$2:O$5,'Analysis Dashboard'!P$2:P$5)</f>
        <v>Rahul Verma</v>
      </c>
      <c r="L225" t="str">
        <f t="shared" si="3"/>
        <v>11-20%</v>
      </c>
    </row>
    <row r="226" spans="1:12" x14ac:dyDescent="0.25">
      <c r="A226" s="1" t="s">
        <v>274</v>
      </c>
      <c r="B226" s="2">
        <v>45983</v>
      </c>
      <c r="C226" s="1" t="s">
        <v>122</v>
      </c>
      <c r="D226" s="1" t="s">
        <v>18</v>
      </c>
      <c r="E226" s="1" t="s">
        <v>19</v>
      </c>
      <c r="F226" s="1" t="s">
        <v>20</v>
      </c>
      <c r="G226">
        <v>678.01</v>
      </c>
      <c r="H226">
        <v>1</v>
      </c>
      <c r="I226">
        <v>0</v>
      </c>
      <c r="J226">
        <v>258.13</v>
      </c>
      <c r="K226" t="str">
        <f>_xlfn.XLOOKUP(Order_ID_Order[[#This Row],[Region]],'Analysis Dashboard'!O$2:O$5,'Analysis Dashboard'!P$2:P$5)</f>
        <v>Ankit Gupta</v>
      </c>
      <c r="L226" t="str">
        <f t="shared" si="3"/>
        <v>0-10%</v>
      </c>
    </row>
    <row r="227" spans="1:12" x14ac:dyDescent="0.25">
      <c r="A227" s="1" t="s">
        <v>275</v>
      </c>
      <c r="B227" s="2">
        <v>45679</v>
      </c>
      <c r="C227" s="1" t="s">
        <v>34</v>
      </c>
      <c r="D227" s="1" t="s">
        <v>18</v>
      </c>
      <c r="E227" s="1" t="s">
        <v>81</v>
      </c>
      <c r="F227" s="1" t="s">
        <v>32</v>
      </c>
      <c r="G227">
        <v>3657.24</v>
      </c>
      <c r="H227">
        <v>5</v>
      </c>
      <c r="I227">
        <v>0.1</v>
      </c>
      <c r="J227">
        <v>932.12</v>
      </c>
      <c r="K227" t="str">
        <f>_xlfn.XLOOKUP(Order_ID_Order[[#This Row],[Region]],'Analysis Dashboard'!O$2:O$5,'Analysis Dashboard'!P$2:P$5)</f>
        <v>Neha Singh</v>
      </c>
      <c r="L227" t="str">
        <f t="shared" si="3"/>
        <v>0-10%</v>
      </c>
    </row>
    <row r="228" spans="1:12" x14ac:dyDescent="0.25">
      <c r="A228" s="1" t="s">
        <v>276</v>
      </c>
      <c r="B228" s="2">
        <v>45350</v>
      </c>
      <c r="C228" s="1" t="s">
        <v>34</v>
      </c>
      <c r="D228" s="1" t="s">
        <v>22</v>
      </c>
      <c r="E228" s="1" t="s">
        <v>76</v>
      </c>
      <c r="F228" s="1" t="s">
        <v>39</v>
      </c>
      <c r="G228">
        <v>1005.31</v>
      </c>
      <c r="H228">
        <v>9</v>
      </c>
      <c r="I228">
        <v>0.05</v>
      </c>
      <c r="J228">
        <v>168.53</v>
      </c>
      <c r="K228" t="str">
        <f>_xlfn.XLOOKUP(Order_ID_Order[[#This Row],[Region]],'Analysis Dashboard'!O$2:O$5,'Analysis Dashboard'!P$2:P$5)</f>
        <v>Neha Singh</v>
      </c>
      <c r="L228" t="str">
        <f t="shared" si="3"/>
        <v>0-10%</v>
      </c>
    </row>
    <row r="229" spans="1:12" x14ac:dyDescent="0.25">
      <c r="A229" s="1" t="s">
        <v>277</v>
      </c>
      <c r="B229" s="2">
        <v>45953</v>
      </c>
      <c r="C229" s="1" t="s">
        <v>11</v>
      </c>
      <c r="D229" s="1" t="s">
        <v>18</v>
      </c>
      <c r="E229" s="1" t="s">
        <v>81</v>
      </c>
      <c r="F229" s="1" t="s">
        <v>82</v>
      </c>
      <c r="G229">
        <v>5983.21</v>
      </c>
      <c r="H229">
        <v>7</v>
      </c>
      <c r="I229">
        <v>0.2</v>
      </c>
      <c r="J229">
        <v>661.28</v>
      </c>
      <c r="K229" t="str">
        <f>_xlfn.XLOOKUP(Order_ID_Order[[#This Row],[Region]],'Analysis Dashboard'!O$2:O$5,'Analysis Dashboard'!P$2:P$5)</f>
        <v>Rahul Verma</v>
      </c>
      <c r="L229" t="str">
        <f t="shared" si="3"/>
        <v>11-20%</v>
      </c>
    </row>
    <row r="230" spans="1:12" x14ac:dyDescent="0.25">
      <c r="A230" s="1" t="s">
        <v>278</v>
      </c>
      <c r="B230" s="2">
        <v>45561</v>
      </c>
      <c r="C230" s="1" t="s">
        <v>11</v>
      </c>
      <c r="D230" s="1" t="s">
        <v>26</v>
      </c>
      <c r="E230" s="1" t="s">
        <v>66</v>
      </c>
      <c r="F230" s="1" t="s">
        <v>28</v>
      </c>
      <c r="G230">
        <v>1197.2</v>
      </c>
      <c r="H230">
        <v>4</v>
      </c>
      <c r="I230">
        <v>0</v>
      </c>
      <c r="J230">
        <v>154.26</v>
      </c>
      <c r="K230" t="str">
        <f>_xlfn.XLOOKUP(Order_ID_Order[[#This Row],[Region]],'Analysis Dashboard'!O$2:O$5,'Analysis Dashboard'!P$2:P$5)</f>
        <v>Rahul Verma</v>
      </c>
      <c r="L230" t="str">
        <f t="shared" si="3"/>
        <v>0-10%</v>
      </c>
    </row>
    <row r="231" spans="1:12" x14ac:dyDescent="0.25">
      <c r="A231" s="1" t="s">
        <v>279</v>
      </c>
      <c r="B231" s="2">
        <v>45497</v>
      </c>
      <c r="C231" s="1" t="s">
        <v>11</v>
      </c>
      <c r="D231" s="1" t="s">
        <v>18</v>
      </c>
      <c r="E231" s="1" t="s">
        <v>95</v>
      </c>
      <c r="F231" s="1" t="s">
        <v>82</v>
      </c>
      <c r="G231">
        <v>1033.54</v>
      </c>
      <c r="H231">
        <v>4</v>
      </c>
      <c r="I231">
        <v>0.3</v>
      </c>
      <c r="J231">
        <v>-17.82</v>
      </c>
      <c r="K231" t="str">
        <f>_xlfn.XLOOKUP(Order_ID_Order[[#This Row],[Region]],'Analysis Dashboard'!O$2:O$5,'Analysis Dashboard'!P$2:P$5)</f>
        <v>Rahul Verma</v>
      </c>
      <c r="L231" t="str">
        <f t="shared" si="3"/>
        <v>21-30%</v>
      </c>
    </row>
    <row r="232" spans="1:12" x14ac:dyDescent="0.25">
      <c r="A232" s="1" t="s">
        <v>280</v>
      </c>
      <c r="B232" s="2">
        <v>45869</v>
      </c>
      <c r="C232" s="1" t="s">
        <v>62</v>
      </c>
      <c r="D232" s="1" t="s">
        <v>22</v>
      </c>
      <c r="E232" s="1" t="s">
        <v>48</v>
      </c>
      <c r="F232" s="1" t="s">
        <v>30</v>
      </c>
      <c r="G232">
        <v>786.69</v>
      </c>
      <c r="H232">
        <v>10</v>
      </c>
      <c r="I232">
        <v>0.05</v>
      </c>
      <c r="J232">
        <v>146.63</v>
      </c>
      <c r="K232" t="str">
        <f>_xlfn.XLOOKUP(Order_ID_Order[[#This Row],[Region]],'Analysis Dashboard'!O$2:O$5,'Analysis Dashboard'!P$2:P$5)</f>
        <v>Priya Sharma</v>
      </c>
      <c r="L232" t="str">
        <f t="shared" si="3"/>
        <v>0-10%</v>
      </c>
    </row>
    <row r="233" spans="1:12" x14ac:dyDescent="0.25">
      <c r="A233" s="1" t="s">
        <v>281</v>
      </c>
      <c r="B233" s="2">
        <v>45797</v>
      </c>
      <c r="C233" s="1" t="s">
        <v>62</v>
      </c>
      <c r="D233" s="1" t="s">
        <v>22</v>
      </c>
      <c r="E233" s="1" t="s">
        <v>76</v>
      </c>
      <c r="F233" s="1" t="s">
        <v>64</v>
      </c>
      <c r="G233">
        <v>456.84</v>
      </c>
      <c r="H233">
        <v>7</v>
      </c>
      <c r="I233">
        <v>0.15</v>
      </c>
      <c r="J233">
        <v>16.5</v>
      </c>
      <c r="K233" t="str">
        <f>_xlfn.XLOOKUP(Order_ID_Order[[#This Row],[Region]],'Analysis Dashboard'!O$2:O$5,'Analysis Dashboard'!P$2:P$5)</f>
        <v>Priya Sharma</v>
      </c>
      <c r="L233" t="str">
        <f t="shared" si="3"/>
        <v>11-20%</v>
      </c>
    </row>
    <row r="234" spans="1:12" x14ac:dyDescent="0.25">
      <c r="A234" s="1" t="s">
        <v>282</v>
      </c>
      <c r="B234" s="2">
        <v>45802</v>
      </c>
      <c r="C234" s="1" t="s">
        <v>34</v>
      </c>
      <c r="D234" s="1" t="s">
        <v>26</v>
      </c>
      <c r="E234" s="1" t="s">
        <v>27</v>
      </c>
      <c r="F234" s="1" t="s">
        <v>128</v>
      </c>
      <c r="G234">
        <v>82.24</v>
      </c>
      <c r="H234">
        <v>1</v>
      </c>
      <c r="I234">
        <v>0.3</v>
      </c>
      <c r="J234">
        <v>-25.02</v>
      </c>
      <c r="K234" t="str">
        <f>_xlfn.XLOOKUP(Order_ID_Order[[#This Row],[Region]],'Analysis Dashboard'!O$2:O$5,'Analysis Dashboard'!P$2:P$5)</f>
        <v>Neha Singh</v>
      </c>
      <c r="L234" t="str">
        <f t="shared" si="3"/>
        <v>21-30%</v>
      </c>
    </row>
    <row r="235" spans="1:12" x14ac:dyDescent="0.25">
      <c r="A235" s="1" t="s">
        <v>283</v>
      </c>
      <c r="B235" s="2">
        <v>45397</v>
      </c>
      <c r="C235" s="1" t="s">
        <v>11</v>
      </c>
      <c r="D235" s="1" t="s">
        <v>26</v>
      </c>
      <c r="E235" s="1" t="s">
        <v>53</v>
      </c>
      <c r="F235" s="1" t="s">
        <v>13</v>
      </c>
      <c r="G235">
        <v>530.36</v>
      </c>
      <c r="H235">
        <v>8</v>
      </c>
      <c r="I235">
        <v>0.5</v>
      </c>
      <c r="J235">
        <v>-285.45</v>
      </c>
      <c r="K235" t="str">
        <f>_xlfn.XLOOKUP(Order_ID_Order[[#This Row],[Region]],'Analysis Dashboard'!O$2:O$5,'Analysis Dashboard'!P$2:P$5)</f>
        <v>Rahul Verma</v>
      </c>
      <c r="L235" t="str">
        <f t="shared" si="3"/>
        <v>31-40%</v>
      </c>
    </row>
    <row r="236" spans="1:12" x14ac:dyDescent="0.25">
      <c r="A236" s="1" t="s">
        <v>284</v>
      </c>
      <c r="B236" s="2">
        <v>45924</v>
      </c>
      <c r="C236" s="1" t="s">
        <v>11</v>
      </c>
      <c r="D236" s="1" t="s">
        <v>18</v>
      </c>
      <c r="E236" s="1" t="s">
        <v>95</v>
      </c>
      <c r="F236" s="1" t="s">
        <v>20</v>
      </c>
      <c r="G236">
        <v>1023.57</v>
      </c>
      <c r="H236">
        <v>6</v>
      </c>
      <c r="I236">
        <v>0.1</v>
      </c>
      <c r="J236">
        <v>253.67</v>
      </c>
      <c r="K236" t="str">
        <f>_xlfn.XLOOKUP(Order_ID_Order[[#This Row],[Region]],'Analysis Dashboard'!O$2:O$5,'Analysis Dashboard'!P$2:P$5)</f>
        <v>Rahul Verma</v>
      </c>
      <c r="L236" t="str">
        <f t="shared" si="3"/>
        <v>0-10%</v>
      </c>
    </row>
    <row r="237" spans="1:12" x14ac:dyDescent="0.25">
      <c r="A237" s="1" t="s">
        <v>186</v>
      </c>
      <c r="B237" s="2">
        <v>45990</v>
      </c>
      <c r="C237" s="1" t="s">
        <v>11</v>
      </c>
      <c r="D237" s="1" t="s">
        <v>22</v>
      </c>
      <c r="E237" s="1" t="s">
        <v>35</v>
      </c>
      <c r="F237" s="1" t="s">
        <v>60</v>
      </c>
      <c r="G237">
        <v>579.69000000000005</v>
      </c>
      <c r="H237">
        <v>5</v>
      </c>
      <c r="I237">
        <v>0.1</v>
      </c>
      <c r="J237">
        <v>69.8</v>
      </c>
      <c r="K237" t="str">
        <f>_xlfn.XLOOKUP(Order_ID_Order[[#This Row],[Region]],'Analysis Dashboard'!O$2:O$5,'Analysis Dashboard'!P$2:P$5)</f>
        <v>Rahul Verma</v>
      </c>
      <c r="L237" t="str">
        <f t="shared" si="3"/>
        <v>0-10%</v>
      </c>
    </row>
    <row r="238" spans="1:12" x14ac:dyDescent="0.25">
      <c r="A238" s="1" t="s">
        <v>285</v>
      </c>
      <c r="B238" s="2">
        <v>45955</v>
      </c>
      <c r="C238" s="1" t="s">
        <v>11</v>
      </c>
      <c r="D238" s="1" t="s">
        <v>22</v>
      </c>
      <c r="E238" s="1" t="s">
        <v>23</v>
      </c>
      <c r="F238" s="1" t="s">
        <v>30</v>
      </c>
      <c r="G238">
        <v>192.78</v>
      </c>
      <c r="H238">
        <v>10</v>
      </c>
      <c r="I238">
        <v>0.4</v>
      </c>
      <c r="J238">
        <v>-59.49</v>
      </c>
      <c r="K238" t="str">
        <f>_xlfn.XLOOKUP(Order_ID_Order[[#This Row],[Region]],'Analysis Dashboard'!O$2:O$5,'Analysis Dashboard'!P$2:P$5)</f>
        <v>Rahul Verma</v>
      </c>
      <c r="L238" t="str">
        <f t="shared" si="3"/>
        <v>31-40%</v>
      </c>
    </row>
    <row r="239" spans="1:12" x14ac:dyDescent="0.25">
      <c r="A239" s="1" t="s">
        <v>286</v>
      </c>
      <c r="B239" s="2">
        <v>45752</v>
      </c>
      <c r="C239" s="1" t="s">
        <v>11</v>
      </c>
      <c r="D239" s="1" t="s">
        <v>18</v>
      </c>
      <c r="E239" s="1" t="s">
        <v>95</v>
      </c>
      <c r="F239" s="1" t="s">
        <v>58</v>
      </c>
      <c r="G239">
        <v>2620.19</v>
      </c>
      <c r="H239">
        <v>9</v>
      </c>
      <c r="I239">
        <v>0.1</v>
      </c>
      <c r="J239">
        <v>605.76</v>
      </c>
      <c r="K239" t="str">
        <f>_xlfn.XLOOKUP(Order_ID_Order[[#This Row],[Region]],'Analysis Dashboard'!O$2:O$5,'Analysis Dashboard'!P$2:P$5)</f>
        <v>Rahul Verma</v>
      </c>
      <c r="L239" t="str">
        <f t="shared" si="3"/>
        <v>0-10%</v>
      </c>
    </row>
    <row r="240" spans="1:12" x14ac:dyDescent="0.25">
      <c r="A240" s="1" t="s">
        <v>287</v>
      </c>
      <c r="B240" s="2">
        <v>45326</v>
      </c>
      <c r="C240" s="1" t="s">
        <v>11</v>
      </c>
      <c r="D240" s="1" t="s">
        <v>18</v>
      </c>
      <c r="E240" s="1" t="s">
        <v>19</v>
      </c>
      <c r="F240" s="1" t="s">
        <v>37</v>
      </c>
      <c r="G240">
        <v>5723</v>
      </c>
      <c r="H240">
        <v>7</v>
      </c>
      <c r="I240">
        <v>0.3</v>
      </c>
      <c r="J240">
        <v>-174.67</v>
      </c>
      <c r="K240" t="str">
        <f>_xlfn.XLOOKUP(Order_ID_Order[[#This Row],[Region]],'Analysis Dashboard'!O$2:O$5,'Analysis Dashboard'!P$2:P$5)</f>
        <v>Rahul Verma</v>
      </c>
      <c r="L240" t="str">
        <f t="shared" si="3"/>
        <v>21-30%</v>
      </c>
    </row>
    <row r="241" spans="1:12" x14ac:dyDescent="0.25">
      <c r="A241" s="1" t="s">
        <v>288</v>
      </c>
      <c r="B241" s="2">
        <v>45327</v>
      </c>
      <c r="C241" s="1" t="s">
        <v>34</v>
      </c>
      <c r="D241" s="1" t="s">
        <v>22</v>
      </c>
      <c r="E241" s="1" t="s">
        <v>35</v>
      </c>
      <c r="F241" s="1" t="s">
        <v>60</v>
      </c>
      <c r="G241">
        <v>695.52</v>
      </c>
      <c r="H241">
        <v>9</v>
      </c>
      <c r="I241">
        <v>0</v>
      </c>
      <c r="J241">
        <v>178.55</v>
      </c>
      <c r="K241" t="str">
        <f>_xlfn.XLOOKUP(Order_ID_Order[[#This Row],[Region]],'Analysis Dashboard'!O$2:O$5,'Analysis Dashboard'!P$2:P$5)</f>
        <v>Neha Singh</v>
      </c>
      <c r="L241" t="str">
        <f t="shared" si="3"/>
        <v>0-10%</v>
      </c>
    </row>
    <row r="242" spans="1:12" x14ac:dyDescent="0.25">
      <c r="A242" s="1" t="s">
        <v>289</v>
      </c>
      <c r="B242" s="2">
        <v>45522</v>
      </c>
      <c r="C242" s="1" t="s">
        <v>11</v>
      </c>
      <c r="D242" s="1" t="s">
        <v>22</v>
      </c>
      <c r="E242" s="1" t="s">
        <v>15</v>
      </c>
      <c r="F242" s="1" t="s">
        <v>16</v>
      </c>
      <c r="G242">
        <v>182.04</v>
      </c>
      <c r="H242">
        <v>2</v>
      </c>
      <c r="I242">
        <v>0.05</v>
      </c>
      <c r="J242">
        <v>36.61</v>
      </c>
      <c r="K242" t="str">
        <f>_xlfn.XLOOKUP(Order_ID_Order[[#This Row],[Region]],'Analysis Dashboard'!O$2:O$5,'Analysis Dashboard'!P$2:P$5)</f>
        <v>Rahul Verma</v>
      </c>
      <c r="L242" t="str">
        <f t="shared" si="3"/>
        <v>0-10%</v>
      </c>
    </row>
    <row r="243" spans="1:12" x14ac:dyDescent="0.25">
      <c r="A243" s="1" t="s">
        <v>290</v>
      </c>
      <c r="B243" s="2">
        <v>45963</v>
      </c>
      <c r="C243" s="1" t="s">
        <v>11</v>
      </c>
      <c r="D243" s="1" t="s">
        <v>22</v>
      </c>
      <c r="E243" s="1" t="s">
        <v>35</v>
      </c>
      <c r="F243" s="1" t="s">
        <v>30</v>
      </c>
      <c r="G243">
        <v>612.48</v>
      </c>
      <c r="H243">
        <v>8</v>
      </c>
      <c r="I243">
        <v>0.2</v>
      </c>
      <c r="J243">
        <v>-15.39</v>
      </c>
      <c r="K243" t="str">
        <f>_xlfn.XLOOKUP(Order_ID_Order[[#This Row],[Region]],'Analysis Dashboard'!O$2:O$5,'Analysis Dashboard'!P$2:P$5)</f>
        <v>Rahul Verma</v>
      </c>
      <c r="L243" t="str">
        <f t="shared" si="3"/>
        <v>11-20%</v>
      </c>
    </row>
    <row r="244" spans="1:12" x14ac:dyDescent="0.25">
      <c r="A244" s="1" t="s">
        <v>291</v>
      </c>
      <c r="B244" s="2">
        <v>45855</v>
      </c>
      <c r="C244" s="1" t="s">
        <v>34</v>
      </c>
      <c r="D244" s="1" t="s">
        <v>22</v>
      </c>
      <c r="E244" s="1" t="s">
        <v>23</v>
      </c>
      <c r="F244" s="1" t="s">
        <v>30</v>
      </c>
      <c r="G244">
        <v>178.8</v>
      </c>
      <c r="H244">
        <v>8</v>
      </c>
      <c r="I244">
        <v>0.4</v>
      </c>
      <c r="J244">
        <v>-51.68</v>
      </c>
      <c r="K244" t="str">
        <f>_xlfn.XLOOKUP(Order_ID_Order[[#This Row],[Region]],'Analysis Dashboard'!O$2:O$5,'Analysis Dashboard'!P$2:P$5)</f>
        <v>Neha Singh</v>
      </c>
      <c r="L244" t="str">
        <f t="shared" si="3"/>
        <v>31-40%</v>
      </c>
    </row>
    <row r="245" spans="1:12" x14ac:dyDescent="0.25">
      <c r="A245" s="1" t="s">
        <v>292</v>
      </c>
      <c r="B245" s="2">
        <v>45978</v>
      </c>
      <c r="C245" s="1" t="s">
        <v>11</v>
      </c>
      <c r="D245" s="1" t="s">
        <v>18</v>
      </c>
      <c r="E245" s="1" t="s">
        <v>43</v>
      </c>
      <c r="F245" s="1" t="s">
        <v>82</v>
      </c>
      <c r="G245">
        <v>2111.94</v>
      </c>
      <c r="H245">
        <v>6</v>
      </c>
      <c r="I245">
        <v>0</v>
      </c>
      <c r="J245">
        <v>798.31</v>
      </c>
      <c r="K245" t="str">
        <f>_xlfn.XLOOKUP(Order_ID_Order[[#This Row],[Region]],'Analysis Dashboard'!O$2:O$5,'Analysis Dashboard'!P$2:P$5)</f>
        <v>Rahul Verma</v>
      </c>
      <c r="L245" t="str">
        <f t="shared" si="3"/>
        <v>0-10%</v>
      </c>
    </row>
    <row r="246" spans="1:12" x14ac:dyDescent="0.25">
      <c r="A246" s="1" t="s">
        <v>293</v>
      </c>
      <c r="B246" s="2">
        <v>45784</v>
      </c>
      <c r="C246" s="1" t="s">
        <v>122</v>
      </c>
      <c r="D246" s="1" t="s">
        <v>22</v>
      </c>
      <c r="E246" s="1" t="s">
        <v>15</v>
      </c>
      <c r="F246" s="1" t="s">
        <v>24</v>
      </c>
      <c r="G246">
        <v>444.56</v>
      </c>
      <c r="H246">
        <v>9</v>
      </c>
      <c r="I246">
        <v>0.5</v>
      </c>
      <c r="J246">
        <v>-197.36</v>
      </c>
      <c r="K246" t="str">
        <f>_xlfn.XLOOKUP(Order_ID_Order[[#This Row],[Region]],'Analysis Dashboard'!O$2:O$5,'Analysis Dashboard'!P$2:P$5)</f>
        <v>Ankit Gupta</v>
      </c>
      <c r="L246" t="str">
        <f t="shared" si="3"/>
        <v>31-40%</v>
      </c>
    </row>
    <row r="247" spans="1:12" x14ac:dyDescent="0.25">
      <c r="A247" s="1" t="s">
        <v>294</v>
      </c>
      <c r="B247" s="2">
        <v>45694</v>
      </c>
      <c r="C247" s="1" t="s">
        <v>11</v>
      </c>
      <c r="D247" s="1" t="s">
        <v>26</v>
      </c>
      <c r="E247" s="1" t="s">
        <v>53</v>
      </c>
      <c r="F247" s="1" t="s">
        <v>189</v>
      </c>
      <c r="G247">
        <v>5996.72</v>
      </c>
      <c r="H247">
        <v>8</v>
      </c>
      <c r="I247">
        <v>0</v>
      </c>
      <c r="J247">
        <v>656.57</v>
      </c>
      <c r="K247" t="str">
        <f>_xlfn.XLOOKUP(Order_ID_Order[[#This Row],[Region]],'Analysis Dashboard'!O$2:O$5,'Analysis Dashboard'!P$2:P$5)</f>
        <v>Rahul Verma</v>
      </c>
      <c r="L247" t="str">
        <f t="shared" si="3"/>
        <v>0-10%</v>
      </c>
    </row>
    <row r="248" spans="1:12" x14ac:dyDescent="0.25">
      <c r="A248" s="1" t="s">
        <v>295</v>
      </c>
      <c r="B248" s="2">
        <v>45404</v>
      </c>
      <c r="C248" s="1" t="s">
        <v>62</v>
      </c>
      <c r="D248" s="1" t="s">
        <v>18</v>
      </c>
      <c r="E248" s="1" t="s">
        <v>95</v>
      </c>
      <c r="F248" s="1" t="s">
        <v>32</v>
      </c>
      <c r="G248">
        <v>4607.33</v>
      </c>
      <c r="H248">
        <v>6</v>
      </c>
      <c r="I248">
        <v>0.1</v>
      </c>
      <c r="J248">
        <v>1085.5999999999999</v>
      </c>
      <c r="K248" t="str">
        <f>_xlfn.XLOOKUP(Order_ID_Order[[#This Row],[Region]],'Analysis Dashboard'!O$2:O$5,'Analysis Dashboard'!P$2:P$5)</f>
        <v>Priya Sharma</v>
      </c>
      <c r="L248" t="str">
        <f t="shared" si="3"/>
        <v>0-10%</v>
      </c>
    </row>
    <row r="249" spans="1:12" x14ac:dyDescent="0.25">
      <c r="A249" s="1" t="s">
        <v>296</v>
      </c>
      <c r="B249" s="2">
        <v>45838</v>
      </c>
      <c r="C249" s="1" t="s">
        <v>62</v>
      </c>
      <c r="D249" s="1" t="s">
        <v>26</v>
      </c>
      <c r="E249" s="1" t="s">
        <v>27</v>
      </c>
      <c r="F249" s="1" t="s">
        <v>85</v>
      </c>
      <c r="G249">
        <v>345.45</v>
      </c>
      <c r="H249">
        <v>2</v>
      </c>
      <c r="I249">
        <v>0.5</v>
      </c>
      <c r="J249">
        <v>-191.59</v>
      </c>
      <c r="K249" t="str">
        <f>_xlfn.XLOOKUP(Order_ID_Order[[#This Row],[Region]],'Analysis Dashboard'!O$2:O$5,'Analysis Dashboard'!P$2:P$5)</f>
        <v>Priya Sharma</v>
      </c>
      <c r="L249" t="str">
        <f t="shared" si="3"/>
        <v>31-40%</v>
      </c>
    </row>
    <row r="250" spans="1:12" x14ac:dyDescent="0.25">
      <c r="A250" s="1" t="s">
        <v>297</v>
      </c>
      <c r="B250" s="2">
        <v>45764</v>
      </c>
      <c r="C250" s="1" t="s">
        <v>11</v>
      </c>
      <c r="D250" s="1" t="s">
        <v>22</v>
      </c>
      <c r="E250" s="1" t="s">
        <v>76</v>
      </c>
      <c r="F250" s="1" t="s">
        <v>71</v>
      </c>
      <c r="G250">
        <v>512.83000000000004</v>
      </c>
      <c r="H250">
        <v>8</v>
      </c>
      <c r="I250">
        <v>0.4</v>
      </c>
      <c r="J250">
        <v>-157.47</v>
      </c>
      <c r="K250" t="str">
        <f>_xlfn.XLOOKUP(Order_ID_Order[[#This Row],[Region]],'Analysis Dashboard'!O$2:O$5,'Analysis Dashboard'!P$2:P$5)</f>
        <v>Rahul Verma</v>
      </c>
      <c r="L250" t="str">
        <f t="shared" si="3"/>
        <v>31-40%</v>
      </c>
    </row>
    <row r="251" spans="1:12" x14ac:dyDescent="0.25">
      <c r="A251" s="1" t="s">
        <v>298</v>
      </c>
      <c r="B251" s="2">
        <v>45545</v>
      </c>
      <c r="C251" s="1" t="s">
        <v>122</v>
      </c>
      <c r="D251" s="1" t="s">
        <v>22</v>
      </c>
      <c r="E251" s="1" t="s">
        <v>15</v>
      </c>
      <c r="F251" s="1" t="s">
        <v>30</v>
      </c>
      <c r="G251">
        <v>267.32</v>
      </c>
      <c r="H251">
        <v>4</v>
      </c>
      <c r="I251">
        <v>0</v>
      </c>
      <c r="J251">
        <v>64.06</v>
      </c>
      <c r="K251" t="str">
        <f>_xlfn.XLOOKUP(Order_ID_Order[[#This Row],[Region]],'Analysis Dashboard'!O$2:O$5,'Analysis Dashboard'!P$2:P$5)</f>
        <v>Ankit Gupta</v>
      </c>
      <c r="L251" t="str">
        <f t="shared" si="3"/>
        <v>0-10%</v>
      </c>
    </row>
    <row r="252" spans="1:12" x14ac:dyDescent="0.25">
      <c r="A252" s="1" t="s">
        <v>299</v>
      </c>
      <c r="B252" s="2">
        <v>45293</v>
      </c>
      <c r="C252" s="1" t="s">
        <v>62</v>
      </c>
      <c r="D252" s="1" t="s">
        <v>18</v>
      </c>
      <c r="E252" s="1" t="s">
        <v>81</v>
      </c>
      <c r="F252" s="1" t="s">
        <v>82</v>
      </c>
      <c r="G252">
        <v>770.02</v>
      </c>
      <c r="H252">
        <v>1</v>
      </c>
      <c r="I252">
        <v>0</v>
      </c>
      <c r="J252">
        <v>280.08999999999997</v>
      </c>
      <c r="K252" t="str">
        <f>_xlfn.XLOOKUP(Order_ID_Order[[#This Row],[Region]],'Analysis Dashboard'!O$2:O$5,'Analysis Dashboard'!P$2:P$5)</f>
        <v>Priya Sharma</v>
      </c>
      <c r="L252" t="str">
        <f t="shared" si="3"/>
        <v>0-10%</v>
      </c>
    </row>
    <row r="253" spans="1:12" x14ac:dyDescent="0.25">
      <c r="A253" s="1" t="s">
        <v>300</v>
      </c>
      <c r="B253" s="2">
        <v>45509</v>
      </c>
      <c r="C253" s="1" t="s">
        <v>11</v>
      </c>
      <c r="D253" s="1" t="s">
        <v>22</v>
      </c>
      <c r="E253" s="1" t="s">
        <v>48</v>
      </c>
      <c r="F253" s="1" t="s">
        <v>16</v>
      </c>
      <c r="G253">
        <v>449.55</v>
      </c>
      <c r="H253">
        <v>10</v>
      </c>
      <c r="I253">
        <v>0.1</v>
      </c>
      <c r="J253">
        <v>55.61</v>
      </c>
      <c r="K253" t="str">
        <f>_xlfn.XLOOKUP(Order_ID_Order[[#This Row],[Region]],'Analysis Dashboard'!O$2:O$5,'Analysis Dashboard'!P$2:P$5)</f>
        <v>Rahul Verma</v>
      </c>
      <c r="L253" t="str">
        <f t="shared" si="3"/>
        <v>0-10%</v>
      </c>
    </row>
    <row r="254" spans="1:12" x14ac:dyDescent="0.25">
      <c r="A254" s="1" t="s">
        <v>301</v>
      </c>
      <c r="B254" s="2">
        <v>45494</v>
      </c>
      <c r="C254" s="1" t="s">
        <v>11</v>
      </c>
      <c r="D254" s="1" t="s">
        <v>22</v>
      </c>
      <c r="E254" s="1" t="s">
        <v>15</v>
      </c>
      <c r="F254" s="1" t="s">
        <v>64</v>
      </c>
      <c r="G254">
        <v>104.17</v>
      </c>
      <c r="H254">
        <v>5</v>
      </c>
      <c r="I254">
        <v>0.1</v>
      </c>
      <c r="J254">
        <v>11.03</v>
      </c>
      <c r="K254" t="str">
        <f>_xlfn.XLOOKUP(Order_ID_Order[[#This Row],[Region]],'Analysis Dashboard'!O$2:O$5,'Analysis Dashboard'!P$2:P$5)</f>
        <v>Rahul Verma</v>
      </c>
      <c r="L254" t="str">
        <f t="shared" si="3"/>
        <v>0-10%</v>
      </c>
    </row>
    <row r="255" spans="1:12" x14ac:dyDescent="0.25">
      <c r="A255" s="1" t="s">
        <v>302</v>
      </c>
      <c r="B255" s="2">
        <v>45794</v>
      </c>
      <c r="C255" s="1" t="s">
        <v>11</v>
      </c>
      <c r="D255" s="1" t="s">
        <v>26</v>
      </c>
      <c r="E255" s="1" t="s">
        <v>53</v>
      </c>
      <c r="F255" s="1" t="s">
        <v>54</v>
      </c>
      <c r="G255">
        <v>2043.18</v>
      </c>
      <c r="H255">
        <v>6</v>
      </c>
      <c r="I255">
        <v>0</v>
      </c>
      <c r="J255">
        <v>276.51</v>
      </c>
      <c r="K255" t="str">
        <f>_xlfn.XLOOKUP(Order_ID_Order[[#This Row],[Region]],'Analysis Dashboard'!O$2:O$5,'Analysis Dashboard'!P$2:P$5)</f>
        <v>Rahul Verma</v>
      </c>
      <c r="L255" t="str">
        <f t="shared" si="3"/>
        <v>0-10%</v>
      </c>
    </row>
    <row r="256" spans="1:12" x14ac:dyDescent="0.25">
      <c r="A256" s="1" t="s">
        <v>303</v>
      </c>
      <c r="B256" s="2">
        <v>45508</v>
      </c>
      <c r="C256" s="1" t="s">
        <v>34</v>
      </c>
      <c r="D256" s="1" t="s">
        <v>18</v>
      </c>
      <c r="E256" s="1" t="s">
        <v>81</v>
      </c>
      <c r="F256" s="1" t="s">
        <v>41</v>
      </c>
      <c r="G256">
        <v>7512.75</v>
      </c>
      <c r="H256">
        <v>9</v>
      </c>
      <c r="I256">
        <v>0</v>
      </c>
      <c r="J256">
        <v>2995.78</v>
      </c>
      <c r="K256" t="str">
        <f>_xlfn.XLOOKUP(Order_ID_Order[[#This Row],[Region]],'Analysis Dashboard'!O$2:O$5,'Analysis Dashboard'!P$2:P$5)</f>
        <v>Neha Singh</v>
      </c>
      <c r="L256" t="str">
        <f t="shared" si="3"/>
        <v>0-10%</v>
      </c>
    </row>
    <row r="257" spans="1:12" x14ac:dyDescent="0.25">
      <c r="A257" s="1" t="s">
        <v>304</v>
      </c>
      <c r="B257" s="2">
        <v>45940</v>
      </c>
      <c r="C257" s="1" t="s">
        <v>11</v>
      </c>
      <c r="D257" s="1" t="s">
        <v>22</v>
      </c>
      <c r="E257" s="1" t="s">
        <v>76</v>
      </c>
      <c r="F257" s="1" t="s">
        <v>71</v>
      </c>
      <c r="G257">
        <v>106.42</v>
      </c>
      <c r="H257">
        <v>3</v>
      </c>
      <c r="I257">
        <v>0.4</v>
      </c>
      <c r="J257">
        <v>-30.04</v>
      </c>
      <c r="K257" t="str">
        <f>_xlfn.XLOOKUP(Order_ID_Order[[#This Row],[Region]],'Analysis Dashboard'!O$2:O$5,'Analysis Dashboard'!P$2:P$5)</f>
        <v>Rahul Verma</v>
      </c>
      <c r="L257" t="str">
        <f t="shared" si="3"/>
        <v>31-40%</v>
      </c>
    </row>
    <row r="258" spans="1:12" x14ac:dyDescent="0.25">
      <c r="A258" s="1" t="s">
        <v>305</v>
      </c>
      <c r="B258" s="2">
        <v>45518</v>
      </c>
      <c r="C258" s="1" t="s">
        <v>11</v>
      </c>
      <c r="D258" s="1" t="s">
        <v>18</v>
      </c>
      <c r="E258" s="1" t="s">
        <v>81</v>
      </c>
      <c r="F258" s="1" t="s">
        <v>58</v>
      </c>
      <c r="G258">
        <v>963.58</v>
      </c>
      <c r="H258">
        <v>2</v>
      </c>
      <c r="I258">
        <v>0</v>
      </c>
      <c r="J258">
        <v>375.96</v>
      </c>
      <c r="K258" t="str">
        <f>_xlfn.XLOOKUP(Order_ID_Order[[#This Row],[Region]],'Analysis Dashboard'!O$2:O$5,'Analysis Dashboard'!P$2:P$5)</f>
        <v>Rahul Verma</v>
      </c>
      <c r="L258" t="str">
        <f t="shared" ref="L258:L297" si="4">IF(I258&lt;=0.1,"0-10%",IF(I258&lt;=0.2,"11-20%",IF(I258&lt;=0.3,"21-30%","31-40%")))</f>
        <v>0-10%</v>
      </c>
    </row>
    <row r="259" spans="1:12" x14ac:dyDescent="0.25">
      <c r="A259" s="1" t="s">
        <v>306</v>
      </c>
      <c r="B259" s="2">
        <v>45422</v>
      </c>
      <c r="C259" s="1" t="s">
        <v>11</v>
      </c>
      <c r="D259" s="1" t="s">
        <v>22</v>
      </c>
      <c r="E259" s="1" t="s">
        <v>15</v>
      </c>
      <c r="F259" s="1" t="s">
        <v>16</v>
      </c>
      <c r="G259">
        <v>720.85</v>
      </c>
      <c r="H259">
        <v>9</v>
      </c>
      <c r="I259">
        <v>0.3</v>
      </c>
      <c r="J259">
        <v>-109.98</v>
      </c>
      <c r="K259" t="str">
        <f>_xlfn.XLOOKUP(Order_ID_Order[[#This Row],[Region]],'Analysis Dashboard'!O$2:O$5,'Analysis Dashboard'!P$2:P$5)</f>
        <v>Rahul Verma</v>
      </c>
      <c r="L259" t="str">
        <f t="shared" si="4"/>
        <v>21-30%</v>
      </c>
    </row>
    <row r="260" spans="1:12" x14ac:dyDescent="0.25">
      <c r="A260" s="1" t="s">
        <v>307</v>
      </c>
      <c r="B260" s="2">
        <v>45943</v>
      </c>
      <c r="C260" s="1" t="s">
        <v>34</v>
      </c>
      <c r="D260" s="1" t="s">
        <v>22</v>
      </c>
      <c r="E260" s="1" t="s">
        <v>15</v>
      </c>
      <c r="F260" s="1" t="s">
        <v>60</v>
      </c>
      <c r="G260">
        <v>686.91</v>
      </c>
      <c r="H260">
        <v>7</v>
      </c>
      <c r="I260">
        <v>0</v>
      </c>
      <c r="J260">
        <v>169.82</v>
      </c>
      <c r="K260" t="str">
        <f>_xlfn.XLOOKUP(Order_ID_Order[[#This Row],[Region]],'Analysis Dashboard'!O$2:O$5,'Analysis Dashboard'!P$2:P$5)</f>
        <v>Neha Singh</v>
      </c>
      <c r="L260" t="str">
        <f t="shared" si="4"/>
        <v>0-10%</v>
      </c>
    </row>
    <row r="261" spans="1:12" x14ac:dyDescent="0.25">
      <c r="A261" s="1" t="s">
        <v>308</v>
      </c>
      <c r="B261" s="2">
        <v>45900</v>
      </c>
      <c r="C261" s="1" t="s">
        <v>122</v>
      </c>
      <c r="D261" s="1" t="s">
        <v>18</v>
      </c>
      <c r="E261" s="1" t="s">
        <v>95</v>
      </c>
      <c r="F261" s="1" t="s">
        <v>20</v>
      </c>
      <c r="G261">
        <v>4509.03</v>
      </c>
      <c r="H261">
        <v>7</v>
      </c>
      <c r="I261">
        <v>0.05</v>
      </c>
      <c r="J261">
        <v>1466.23</v>
      </c>
      <c r="K261" t="str">
        <f>_xlfn.XLOOKUP(Order_ID_Order[[#This Row],[Region]],'Analysis Dashboard'!O$2:O$5,'Analysis Dashboard'!P$2:P$5)</f>
        <v>Ankit Gupta</v>
      </c>
      <c r="L261" t="str">
        <f t="shared" si="4"/>
        <v>0-10%</v>
      </c>
    </row>
    <row r="262" spans="1:12" x14ac:dyDescent="0.25">
      <c r="A262" s="1" t="s">
        <v>104</v>
      </c>
      <c r="B262" s="2">
        <v>45324</v>
      </c>
      <c r="C262" s="1" t="s">
        <v>62</v>
      </c>
      <c r="D262" s="1" t="s">
        <v>22</v>
      </c>
      <c r="E262" s="1" t="s">
        <v>76</v>
      </c>
      <c r="F262" s="1" t="s">
        <v>71</v>
      </c>
      <c r="G262">
        <v>815.63</v>
      </c>
      <c r="H262">
        <v>8</v>
      </c>
      <c r="I262">
        <v>0.05</v>
      </c>
      <c r="J262">
        <v>141.18</v>
      </c>
      <c r="K262" t="str">
        <f>_xlfn.XLOOKUP(Order_ID_Order[[#This Row],[Region]],'Analysis Dashboard'!O$2:O$5,'Analysis Dashboard'!P$2:P$5)</f>
        <v>Priya Sharma</v>
      </c>
      <c r="L262" t="str">
        <f t="shared" si="4"/>
        <v>0-10%</v>
      </c>
    </row>
    <row r="263" spans="1:12" x14ac:dyDescent="0.25">
      <c r="A263" s="1" t="s">
        <v>309</v>
      </c>
      <c r="B263" s="2">
        <v>45516</v>
      </c>
      <c r="C263" s="1" t="s">
        <v>62</v>
      </c>
      <c r="D263" s="1" t="s">
        <v>18</v>
      </c>
      <c r="E263" s="1" t="s">
        <v>43</v>
      </c>
      <c r="F263" s="1" t="s">
        <v>96</v>
      </c>
      <c r="G263">
        <v>3180.57</v>
      </c>
      <c r="H263">
        <v>3</v>
      </c>
      <c r="I263">
        <v>0</v>
      </c>
      <c r="J263">
        <v>1178.0999999999999</v>
      </c>
      <c r="K263" t="str">
        <f>_xlfn.XLOOKUP(Order_ID_Order[[#This Row],[Region]],'Analysis Dashboard'!O$2:O$5,'Analysis Dashboard'!P$2:P$5)</f>
        <v>Priya Sharma</v>
      </c>
      <c r="L263" t="str">
        <f t="shared" si="4"/>
        <v>0-10%</v>
      </c>
    </row>
    <row r="264" spans="1:12" x14ac:dyDescent="0.25">
      <c r="A264" s="1" t="s">
        <v>310</v>
      </c>
      <c r="B264" s="2">
        <v>45702</v>
      </c>
      <c r="C264" s="1" t="s">
        <v>122</v>
      </c>
      <c r="D264" s="1" t="s">
        <v>26</v>
      </c>
      <c r="E264" s="1" t="s">
        <v>12</v>
      </c>
      <c r="F264" s="1" t="s">
        <v>128</v>
      </c>
      <c r="G264">
        <v>783.41</v>
      </c>
      <c r="H264">
        <v>2</v>
      </c>
      <c r="I264">
        <v>0.15</v>
      </c>
      <c r="J264">
        <v>-70.06</v>
      </c>
      <c r="K264" t="str">
        <f>_xlfn.XLOOKUP(Order_ID_Order[[#This Row],[Region]],'Analysis Dashboard'!O$2:O$5,'Analysis Dashboard'!P$2:P$5)</f>
        <v>Ankit Gupta</v>
      </c>
      <c r="L264" t="str">
        <f t="shared" si="4"/>
        <v>11-20%</v>
      </c>
    </row>
    <row r="265" spans="1:12" x14ac:dyDescent="0.25">
      <c r="A265" s="1" t="s">
        <v>287</v>
      </c>
      <c r="B265" s="2">
        <v>45326</v>
      </c>
      <c r="C265" s="1" t="s">
        <v>11</v>
      </c>
      <c r="D265" s="1" t="s">
        <v>18</v>
      </c>
      <c r="E265" s="1" t="s">
        <v>19</v>
      </c>
      <c r="F265" s="1" t="s">
        <v>37</v>
      </c>
      <c r="G265">
        <v>5723</v>
      </c>
      <c r="H265">
        <v>7</v>
      </c>
      <c r="I265">
        <v>0.3</v>
      </c>
      <c r="J265">
        <v>-174.67</v>
      </c>
      <c r="K265" t="str">
        <f>_xlfn.XLOOKUP(Order_ID_Order[[#This Row],[Region]],'Analysis Dashboard'!O$2:O$5,'Analysis Dashboard'!P$2:P$5)</f>
        <v>Rahul Verma</v>
      </c>
      <c r="L265" t="str">
        <f t="shared" si="4"/>
        <v>21-30%</v>
      </c>
    </row>
    <row r="266" spans="1:12" x14ac:dyDescent="0.25">
      <c r="A266" s="1" t="s">
        <v>311</v>
      </c>
      <c r="B266" s="2">
        <v>45635</v>
      </c>
      <c r="C266" s="1" t="s">
        <v>11</v>
      </c>
      <c r="D266" s="1" t="s">
        <v>18</v>
      </c>
      <c r="E266" s="1" t="s">
        <v>43</v>
      </c>
      <c r="F266" s="1" t="s">
        <v>41</v>
      </c>
      <c r="G266">
        <v>4000.75</v>
      </c>
      <c r="H266">
        <v>6</v>
      </c>
      <c r="I266">
        <v>0.15</v>
      </c>
      <c r="J266">
        <v>681.85</v>
      </c>
      <c r="K266" t="str">
        <f>_xlfn.XLOOKUP(Order_ID_Order[[#This Row],[Region]],'Analysis Dashboard'!O$2:O$5,'Analysis Dashboard'!P$2:P$5)</f>
        <v>Rahul Verma</v>
      </c>
      <c r="L266" t="str">
        <f t="shared" si="4"/>
        <v>11-20%</v>
      </c>
    </row>
    <row r="267" spans="1:12" x14ac:dyDescent="0.25">
      <c r="A267" s="1" t="s">
        <v>312</v>
      </c>
      <c r="B267" s="2">
        <v>46018</v>
      </c>
      <c r="C267" s="1" t="s">
        <v>11</v>
      </c>
      <c r="D267" s="1" t="s">
        <v>26</v>
      </c>
      <c r="E267" s="1" t="s">
        <v>53</v>
      </c>
      <c r="F267" s="1" t="s">
        <v>189</v>
      </c>
      <c r="G267">
        <v>2384.12</v>
      </c>
      <c r="H267">
        <v>8</v>
      </c>
      <c r="I267">
        <v>0.5</v>
      </c>
      <c r="J267">
        <v>-1326.35</v>
      </c>
      <c r="K267" t="str">
        <f>_xlfn.XLOOKUP(Order_ID_Order[[#This Row],[Region]],'Analysis Dashboard'!O$2:O$5,'Analysis Dashboard'!P$2:P$5)</f>
        <v>Rahul Verma</v>
      </c>
      <c r="L267" t="str">
        <f t="shared" si="4"/>
        <v>31-40%</v>
      </c>
    </row>
    <row r="268" spans="1:12" x14ac:dyDescent="0.25">
      <c r="A268" s="1" t="s">
        <v>313</v>
      </c>
      <c r="B268" s="2">
        <v>45697</v>
      </c>
      <c r="C268" s="1" t="s">
        <v>11</v>
      </c>
      <c r="D268" s="1" t="s">
        <v>22</v>
      </c>
      <c r="E268" s="1" t="s">
        <v>35</v>
      </c>
      <c r="F268" s="1" t="s">
        <v>39</v>
      </c>
      <c r="G268">
        <v>992.88</v>
      </c>
      <c r="H268">
        <v>9</v>
      </c>
      <c r="I268">
        <v>0</v>
      </c>
      <c r="J268">
        <v>239.68</v>
      </c>
      <c r="K268" t="str">
        <f>_xlfn.XLOOKUP(Order_ID_Order[[#This Row],[Region]],'Analysis Dashboard'!O$2:O$5,'Analysis Dashboard'!P$2:P$5)</f>
        <v>Rahul Verma</v>
      </c>
      <c r="L268" t="str">
        <f t="shared" si="4"/>
        <v>0-10%</v>
      </c>
    </row>
    <row r="269" spans="1:12" x14ac:dyDescent="0.25">
      <c r="A269" s="1" t="s">
        <v>314</v>
      </c>
      <c r="B269" s="2">
        <v>45426</v>
      </c>
      <c r="C269" s="1" t="s">
        <v>11</v>
      </c>
      <c r="D269" s="1" t="s">
        <v>22</v>
      </c>
      <c r="E269" s="1" t="s">
        <v>15</v>
      </c>
      <c r="F269" s="1" t="s">
        <v>16</v>
      </c>
      <c r="G269">
        <v>60.86</v>
      </c>
      <c r="H269">
        <v>1</v>
      </c>
      <c r="I269">
        <v>0.15</v>
      </c>
      <c r="J269">
        <v>2.56</v>
      </c>
      <c r="K269" t="str">
        <f>_xlfn.XLOOKUP(Order_ID_Order[[#This Row],[Region]],'Analysis Dashboard'!O$2:O$5,'Analysis Dashboard'!P$2:P$5)</f>
        <v>Rahul Verma</v>
      </c>
      <c r="L269" t="str">
        <f t="shared" si="4"/>
        <v>11-20%</v>
      </c>
    </row>
    <row r="270" spans="1:12" x14ac:dyDescent="0.25">
      <c r="A270" s="1" t="s">
        <v>315</v>
      </c>
      <c r="B270" s="2">
        <v>45421</v>
      </c>
      <c r="C270" s="1" t="s">
        <v>122</v>
      </c>
      <c r="D270" s="1" t="s">
        <v>26</v>
      </c>
      <c r="E270" s="1" t="s">
        <v>27</v>
      </c>
      <c r="F270" s="1" t="s">
        <v>28</v>
      </c>
      <c r="G270">
        <v>1714.05</v>
      </c>
      <c r="H270">
        <v>5</v>
      </c>
      <c r="I270">
        <v>0</v>
      </c>
      <c r="J270">
        <v>177.73</v>
      </c>
      <c r="K270" t="str">
        <f>_xlfn.XLOOKUP(Order_ID_Order[[#This Row],[Region]],'Analysis Dashboard'!O$2:O$5,'Analysis Dashboard'!P$2:P$5)</f>
        <v>Ankit Gupta</v>
      </c>
      <c r="L270" t="str">
        <f t="shared" si="4"/>
        <v>0-10%</v>
      </c>
    </row>
    <row r="271" spans="1:12" x14ac:dyDescent="0.25">
      <c r="A271" s="1" t="s">
        <v>316</v>
      </c>
      <c r="B271" s="2">
        <v>45964</v>
      </c>
      <c r="C271" s="1" t="s">
        <v>11</v>
      </c>
      <c r="D271" s="1" t="s">
        <v>22</v>
      </c>
      <c r="E271" s="1" t="s">
        <v>23</v>
      </c>
      <c r="F271" s="1" t="s">
        <v>39</v>
      </c>
      <c r="G271">
        <v>679.12</v>
      </c>
      <c r="H271">
        <v>8</v>
      </c>
      <c r="I271">
        <v>0.15</v>
      </c>
      <c r="J271">
        <v>36.31</v>
      </c>
      <c r="K271" t="str">
        <f>_xlfn.XLOOKUP(Order_ID_Order[[#This Row],[Region]],'Analysis Dashboard'!O$2:O$5,'Analysis Dashboard'!P$2:P$5)</f>
        <v>Rahul Verma</v>
      </c>
      <c r="L271" t="str">
        <f t="shared" si="4"/>
        <v>11-20%</v>
      </c>
    </row>
    <row r="272" spans="1:12" x14ac:dyDescent="0.25">
      <c r="A272" s="1" t="s">
        <v>317</v>
      </c>
      <c r="B272" s="2">
        <v>45763</v>
      </c>
      <c r="C272" s="1" t="s">
        <v>11</v>
      </c>
      <c r="D272" s="1" t="s">
        <v>18</v>
      </c>
      <c r="E272" s="1" t="s">
        <v>95</v>
      </c>
      <c r="F272" s="1" t="s">
        <v>56</v>
      </c>
      <c r="G272">
        <v>1031.8800000000001</v>
      </c>
      <c r="H272">
        <v>1</v>
      </c>
      <c r="I272">
        <v>0</v>
      </c>
      <c r="J272">
        <v>412.69</v>
      </c>
      <c r="K272" t="str">
        <f>_xlfn.XLOOKUP(Order_ID_Order[[#This Row],[Region]],'Analysis Dashboard'!O$2:O$5,'Analysis Dashboard'!P$2:P$5)</f>
        <v>Rahul Verma</v>
      </c>
      <c r="L272" t="str">
        <f t="shared" si="4"/>
        <v>0-10%</v>
      </c>
    </row>
    <row r="273" spans="1:12" x14ac:dyDescent="0.25">
      <c r="A273" s="1" t="s">
        <v>65</v>
      </c>
      <c r="B273" s="2">
        <v>45719</v>
      </c>
      <c r="C273" s="1" t="s">
        <v>11</v>
      </c>
      <c r="D273" s="1" t="s">
        <v>26</v>
      </c>
      <c r="E273" s="1" t="s">
        <v>66</v>
      </c>
      <c r="F273" s="1" t="s">
        <v>13</v>
      </c>
      <c r="G273">
        <v>3619.51</v>
      </c>
      <c r="H273">
        <v>9</v>
      </c>
      <c r="I273">
        <v>0.2</v>
      </c>
      <c r="J273">
        <v>-482.81</v>
      </c>
      <c r="K273" t="str">
        <f>_xlfn.XLOOKUP(Order_ID_Order[[#This Row],[Region]],'Analysis Dashboard'!O$2:O$5,'Analysis Dashboard'!P$2:P$5)</f>
        <v>Rahul Verma</v>
      </c>
      <c r="L273" t="str">
        <f t="shared" si="4"/>
        <v>11-20%</v>
      </c>
    </row>
    <row r="274" spans="1:12" x14ac:dyDescent="0.25">
      <c r="A274" s="1" t="s">
        <v>318</v>
      </c>
      <c r="B274" s="2">
        <v>45758</v>
      </c>
      <c r="C274" s="1" t="s">
        <v>122</v>
      </c>
      <c r="D274" s="1" t="s">
        <v>22</v>
      </c>
      <c r="E274" s="1" t="s">
        <v>76</v>
      </c>
      <c r="F274" s="1" t="s">
        <v>39</v>
      </c>
      <c r="G274">
        <v>441.7</v>
      </c>
      <c r="H274">
        <v>8</v>
      </c>
      <c r="I274">
        <v>0.4</v>
      </c>
      <c r="J274">
        <v>-123.18</v>
      </c>
      <c r="K274" t="str">
        <f>_xlfn.XLOOKUP(Order_ID_Order[[#This Row],[Region]],'Analysis Dashboard'!O$2:O$5,'Analysis Dashboard'!P$2:P$5)</f>
        <v>Ankit Gupta</v>
      </c>
      <c r="L274" t="str">
        <f t="shared" si="4"/>
        <v>31-40%</v>
      </c>
    </row>
    <row r="275" spans="1:12" x14ac:dyDescent="0.25">
      <c r="A275" s="1" t="s">
        <v>319</v>
      </c>
      <c r="B275" s="2">
        <v>45707</v>
      </c>
      <c r="C275" s="1" t="s">
        <v>62</v>
      </c>
      <c r="D275" s="1" t="s">
        <v>18</v>
      </c>
      <c r="E275" s="1" t="s">
        <v>95</v>
      </c>
      <c r="F275" s="1" t="s">
        <v>82</v>
      </c>
      <c r="G275">
        <v>1219.33</v>
      </c>
      <c r="H275">
        <v>2</v>
      </c>
      <c r="I275">
        <v>0.05</v>
      </c>
      <c r="J275">
        <v>393.44</v>
      </c>
      <c r="K275" t="str">
        <f>_xlfn.XLOOKUP(Order_ID_Order[[#This Row],[Region]],'Analysis Dashboard'!O$2:O$5,'Analysis Dashboard'!P$2:P$5)</f>
        <v>Priya Sharma</v>
      </c>
      <c r="L275" t="str">
        <f t="shared" si="4"/>
        <v>0-10%</v>
      </c>
    </row>
    <row r="276" spans="1:12" x14ac:dyDescent="0.25">
      <c r="A276" s="1" t="s">
        <v>320</v>
      </c>
      <c r="B276" s="2">
        <v>45415</v>
      </c>
      <c r="C276" s="1" t="s">
        <v>11</v>
      </c>
      <c r="D276" s="1" t="s">
        <v>26</v>
      </c>
      <c r="E276" s="1" t="s">
        <v>53</v>
      </c>
      <c r="F276" s="1" t="s">
        <v>85</v>
      </c>
      <c r="G276">
        <v>1811.26</v>
      </c>
      <c r="H276">
        <v>3</v>
      </c>
      <c r="I276">
        <v>0.15</v>
      </c>
      <c r="J276">
        <v>-177.29</v>
      </c>
      <c r="K276" t="str">
        <f>_xlfn.XLOOKUP(Order_ID_Order[[#This Row],[Region]],'Analysis Dashboard'!O$2:O$5,'Analysis Dashboard'!P$2:P$5)</f>
        <v>Rahul Verma</v>
      </c>
      <c r="L276" t="str">
        <f t="shared" si="4"/>
        <v>11-20%</v>
      </c>
    </row>
    <row r="277" spans="1:12" x14ac:dyDescent="0.25">
      <c r="A277" s="1" t="s">
        <v>321</v>
      </c>
      <c r="B277" s="2">
        <v>45866</v>
      </c>
      <c r="C277" s="1" t="s">
        <v>34</v>
      </c>
      <c r="D277" s="1" t="s">
        <v>22</v>
      </c>
      <c r="E277" s="1" t="s">
        <v>76</v>
      </c>
      <c r="F277" s="1" t="s">
        <v>24</v>
      </c>
      <c r="G277">
        <v>99.52</v>
      </c>
      <c r="H277">
        <v>3</v>
      </c>
      <c r="I277">
        <v>0.05</v>
      </c>
      <c r="J277">
        <v>16.48</v>
      </c>
      <c r="K277" t="str">
        <f>_xlfn.XLOOKUP(Order_ID_Order[[#This Row],[Region]],'Analysis Dashboard'!O$2:O$5,'Analysis Dashboard'!P$2:P$5)</f>
        <v>Neha Singh</v>
      </c>
      <c r="L277" t="str">
        <f t="shared" si="4"/>
        <v>0-10%</v>
      </c>
    </row>
    <row r="278" spans="1:12" x14ac:dyDescent="0.25">
      <c r="A278" s="1" t="s">
        <v>322</v>
      </c>
      <c r="B278" s="2">
        <v>45919</v>
      </c>
      <c r="C278" s="1" t="s">
        <v>122</v>
      </c>
      <c r="D278" s="1" t="s">
        <v>26</v>
      </c>
      <c r="E278" s="1" t="s">
        <v>66</v>
      </c>
      <c r="F278" s="1" t="s">
        <v>13</v>
      </c>
      <c r="G278">
        <v>3677.58</v>
      </c>
      <c r="H278">
        <v>10</v>
      </c>
      <c r="I278">
        <v>0.1</v>
      </c>
      <c r="J278">
        <v>-23.02</v>
      </c>
      <c r="K278" t="str">
        <f>_xlfn.XLOOKUP(Order_ID_Order[[#This Row],[Region]],'Analysis Dashboard'!O$2:O$5,'Analysis Dashboard'!P$2:P$5)</f>
        <v>Ankit Gupta</v>
      </c>
      <c r="L278" t="str">
        <f t="shared" si="4"/>
        <v>0-10%</v>
      </c>
    </row>
    <row r="279" spans="1:12" x14ac:dyDescent="0.25">
      <c r="A279" s="1" t="s">
        <v>323</v>
      </c>
      <c r="B279" s="2">
        <v>45344</v>
      </c>
      <c r="C279" s="1" t="s">
        <v>122</v>
      </c>
      <c r="D279" s="1" t="s">
        <v>22</v>
      </c>
      <c r="E279" s="1" t="s">
        <v>35</v>
      </c>
      <c r="F279" s="1" t="s">
        <v>30</v>
      </c>
      <c r="G279">
        <v>607.04</v>
      </c>
      <c r="H279">
        <v>8</v>
      </c>
      <c r="I279">
        <v>0</v>
      </c>
      <c r="J279">
        <v>142.34</v>
      </c>
      <c r="K279" t="str">
        <f>_xlfn.XLOOKUP(Order_ID_Order[[#This Row],[Region]],'Analysis Dashboard'!O$2:O$5,'Analysis Dashboard'!P$2:P$5)</f>
        <v>Ankit Gupta</v>
      </c>
      <c r="L279" t="str">
        <f t="shared" si="4"/>
        <v>0-10%</v>
      </c>
    </row>
    <row r="280" spans="1:12" x14ac:dyDescent="0.25">
      <c r="A280" s="1" t="s">
        <v>324</v>
      </c>
      <c r="B280" s="2">
        <v>45693</v>
      </c>
      <c r="C280" s="1" t="s">
        <v>11</v>
      </c>
      <c r="D280" s="1" t="s">
        <v>18</v>
      </c>
      <c r="E280" s="1" t="s">
        <v>95</v>
      </c>
      <c r="F280" s="1" t="s">
        <v>37</v>
      </c>
      <c r="G280">
        <v>6105.35</v>
      </c>
      <c r="H280">
        <v>7</v>
      </c>
      <c r="I280">
        <v>0.15</v>
      </c>
      <c r="J280">
        <v>1073.1600000000001</v>
      </c>
      <c r="K280" t="str">
        <f>_xlfn.XLOOKUP(Order_ID_Order[[#This Row],[Region]],'Analysis Dashboard'!O$2:O$5,'Analysis Dashboard'!P$2:P$5)</f>
        <v>Rahul Verma</v>
      </c>
      <c r="L280" t="str">
        <f t="shared" si="4"/>
        <v>11-20%</v>
      </c>
    </row>
    <row r="281" spans="1:12" x14ac:dyDescent="0.25">
      <c r="A281" s="1" t="s">
        <v>325</v>
      </c>
      <c r="B281" s="2">
        <v>45973</v>
      </c>
      <c r="C281" s="1" t="s">
        <v>34</v>
      </c>
      <c r="D281" s="1" t="s">
        <v>18</v>
      </c>
      <c r="E281" s="1" t="s">
        <v>43</v>
      </c>
      <c r="F281" s="1" t="s">
        <v>82</v>
      </c>
      <c r="G281">
        <v>4804.99</v>
      </c>
      <c r="H281">
        <v>6</v>
      </c>
      <c r="I281">
        <v>0.2</v>
      </c>
      <c r="J281">
        <v>568.82000000000005</v>
      </c>
      <c r="K281" t="str">
        <f>_xlfn.XLOOKUP(Order_ID_Order[[#This Row],[Region]],'Analysis Dashboard'!O$2:O$5,'Analysis Dashboard'!P$2:P$5)</f>
        <v>Neha Singh</v>
      </c>
      <c r="L281" t="str">
        <f t="shared" si="4"/>
        <v>11-20%</v>
      </c>
    </row>
    <row r="282" spans="1:12" x14ac:dyDescent="0.25">
      <c r="A282" s="1" t="s">
        <v>326</v>
      </c>
      <c r="B282" s="2">
        <v>45764</v>
      </c>
      <c r="C282" s="1" t="s">
        <v>62</v>
      </c>
      <c r="D282" s="1" t="s">
        <v>22</v>
      </c>
      <c r="E282" s="1" t="s">
        <v>48</v>
      </c>
      <c r="F282" s="1" t="s">
        <v>49</v>
      </c>
      <c r="G282">
        <v>146.13</v>
      </c>
      <c r="H282">
        <v>2</v>
      </c>
      <c r="I282">
        <v>0.05</v>
      </c>
      <c r="J282">
        <v>25.35</v>
      </c>
      <c r="K282" t="str">
        <f>_xlfn.XLOOKUP(Order_ID_Order[[#This Row],[Region]],'Analysis Dashboard'!O$2:O$5,'Analysis Dashboard'!P$2:P$5)</f>
        <v>Priya Sharma</v>
      </c>
      <c r="L282" t="str">
        <f t="shared" si="4"/>
        <v>0-10%</v>
      </c>
    </row>
    <row r="283" spans="1:12" x14ac:dyDescent="0.25">
      <c r="A283" s="1" t="s">
        <v>327</v>
      </c>
      <c r="B283" s="2">
        <v>45932</v>
      </c>
      <c r="C283" s="1" t="s">
        <v>62</v>
      </c>
      <c r="D283" s="1" t="s">
        <v>26</v>
      </c>
      <c r="E283" s="1" t="s">
        <v>12</v>
      </c>
      <c r="F283" s="1" t="s">
        <v>128</v>
      </c>
      <c r="G283">
        <v>448.11</v>
      </c>
      <c r="H283">
        <v>6</v>
      </c>
      <c r="I283">
        <v>0.5</v>
      </c>
      <c r="J283">
        <v>-251.59</v>
      </c>
      <c r="K283" t="str">
        <f>_xlfn.XLOOKUP(Order_ID_Order[[#This Row],[Region]],'Analysis Dashboard'!O$2:O$5,'Analysis Dashboard'!P$2:P$5)</f>
        <v>Priya Sharma</v>
      </c>
      <c r="L283" t="str">
        <f t="shared" si="4"/>
        <v>31-40%</v>
      </c>
    </row>
    <row r="284" spans="1:12" x14ac:dyDescent="0.25">
      <c r="A284" s="1" t="s">
        <v>328</v>
      </c>
      <c r="B284" s="2">
        <v>45676</v>
      </c>
      <c r="C284" s="1" t="s">
        <v>122</v>
      </c>
      <c r="D284" s="1" t="s">
        <v>18</v>
      </c>
      <c r="E284" s="1" t="s">
        <v>19</v>
      </c>
      <c r="F284" s="1" t="s">
        <v>58</v>
      </c>
      <c r="G284">
        <v>8505.52</v>
      </c>
      <c r="H284">
        <v>8</v>
      </c>
      <c r="I284">
        <v>0</v>
      </c>
      <c r="J284">
        <v>3240.93</v>
      </c>
      <c r="K284" t="str">
        <f>_xlfn.XLOOKUP(Order_ID_Order[[#This Row],[Region]],'Analysis Dashboard'!O$2:O$5,'Analysis Dashboard'!P$2:P$5)</f>
        <v>Ankit Gupta</v>
      </c>
      <c r="L284" t="str">
        <f t="shared" si="4"/>
        <v>0-10%</v>
      </c>
    </row>
    <row r="285" spans="1:12" x14ac:dyDescent="0.25">
      <c r="A285" s="1" t="s">
        <v>329</v>
      </c>
      <c r="B285" s="2">
        <v>45629</v>
      </c>
      <c r="C285" s="1" t="s">
        <v>122</v>
      </c>
      <c r="D285" s="1" t="s">
        <v>22</v>
      </c>
      <c r="E285" s="1" t="s">
        <v>15</v>
      </c>
      <c r="F285" s="1" t="s">
        <v>30</v>
      </c>
      <c r="G285">
        <v>169.09</v>
      </c>
      <c r="H285">
        <v>3</v>
      </c>
      <c r="I285">
        <v>0.4</v>
      </c>
      <c r="J285">
        <v>-48.91</v>
      </c>
      <c r="K285" t="str">
        <f>_xlfn.XLOOKUP(Order_ID_Order[[#This Row],[Region]],'Analysis Dashboard'!O$2:O$5,'Analysis Dashboard'!P$2:P$5)</f>
        <v>Ankit Gupta</v>
      </c>
      <c r="L285" t="str">
        <f t="shared" si="4"/>
        <v>31-40%</v>
      </c>
    </row>
    <row r="286" spans="1:12" x14ac:dyDescent="0.25">
      <c r="A286" s="1" t="s">
        <v>330</v>
      </c>
      <c r="B286" s="2">
        <v>45677</v>
      </c>
      <c r="C286" s="1" t="s">
        <v>11</v>
      </c>
      <c r="D286" s="1" t="s">
        <v>18</v>
      </c>
      <c r="E286" s="1" t="s">
        <v>95</v>
      </c>
      <c r="F286" s="1" t="s">
        <v>58</v>
      </c>
      <c r="G286">
        <v>7038.71</v>
      </c>
      <c r="H286">
        <v>7</v>
      </c>
      <c r="I286">
        <v>0</v>
      </c>
      <c r="J286">
        <v>2773.75</v>
      </c>
      <c r="K286" t="str">
        <f>_xlfn.XLOOKUP(Order_ID_Order[[#This Row],[Region]],'Analysis Dashboard'!O$2:O$5,'Analysis Dashboard'!P$2:P$5)</f>
        <v>Rahul Verma</v>
      </c>
      <c r="L286" t="str">
        <f t="shared" si="4"/>
        <v>0-10%</v>
      </c>
    </row>
    <row r="287" spans="1:12" x14ac:dyDescent="0.25">
      <c r="A287" s="1" t="s">
        <v>331</v>
      </c>
      <c r="B287" s="2">
        <v>45533</v>
      </c>
      <c r="C287" s="1" t="s">
        <v>62</v>
      </c>
      <c r="D287" s="1" t="s">
        <v>18</v>
      </c>
      <c r="E287" s="1" t="s">
        <v>43</v>
      </c>
      <c r="F287" s="1" t="s">
        <v>82</v>
      </c>
      <c r="G287">
        <v>2178.7199999999998</v>
      </c>
      <c r="H287">
        <v>6</v>
      </c>
      <c r="I287">
        <v>0.4</v>
      </c>
      <c r="J287">
        <v>-330.53</v>
      </c>
      <c r="K287" t="str">
        <f>_xlfn.XLOOKUP(Order_ID_Order[[#This Row],[Region]],'Analysis Dashboard'!O$2:O$5,'Analysis Dashboard'!P$2:P$5)</f>
        <v>Priya Sharma</v>
      </c>
      <c r="L287" t="str">
        <f t="shared" si="4"/>
        <v>31-40%</v>
      </c>
    </row>
    <row r="288" spans="1:12" x14ac:dyDescent="0.25">
      <c r="A288" s="1" t="s">
        <v>332</v>
      </c>
      <c r="B288" s="2">
        <v>45511</v>
      </c>
      <c r="C288" s="1" t="s">
        <v>34</v>
      </c>
      <c r="D288" s="1" t="s">
        <v>22</v>
      </c>
      <c r="E288" s="1" t="s">
        <v>23</v>
      </c>
      <c r="F288" s="1" t="s">
        <v>30</v>
      </c>
      <c r="G288">
        <v>1097.5999999999999</v>
      </c>
      <c r="H288">
        <v>10</v>
      </c>
      <c r="I288">
        <v>0</v>
      </c>
      <c r="J288">
        <v>256.13</v>
      </c>
      <c r="K288" t="str">
        <f>_xlfn.XLOOKUP(Order_ID_Order[[#This Row],[Region]],'Analysis Dashboard'!O$2:O$5,'Analysis Dashboard'!P$2:P$5)</f>
        <v>Neha Singh</v>
      </c>
      <c r="L288" t="str">
        <f t="shared" si="4"/>
        <v>0-10%</v>
      </c>
    </row>
    <row r="289" spans="1:12" x14ac:dyDescent="0.25">
      <c r="A289" s="1" t="s">
        <v>333</v>
      </c>
      <c r="B289" s="2">
        <v>45812</v>
      </c>
      <c r="C289" s="1" t="s">
        <v>34</v>
      </c>
      <c r="D289" s="1" t="s">
        <v>18</v>
      </c>
      <c r="E289" s="1" t="s">
        <v>43</v>
      </c>
      <c r="F289" s="1" t="s">
        <v>37</v>
      </c>
      <c r="G289">
        <v>216.74</v>
      </c>
      <c r="H289">
        <v>1</v>
      </c>
      <c r="I289">
        <v>0.2</v>
      </c>
      <c r="J289">
        <v>21</v>
      </c>
      <c r="K289" t="str">
        <f>_xlfn.XLOOKUP(Order_ID_Order[[#This Row],[Region]],'Analysis Dashboard'!O$2:O$5,'Analysis Dashboard'!P$2:P$5)</f>
        <v>Neha Singh</v>
      </c>
      <c r="L289" t="str">
        <f t="shared" si="4"/>
        <v>11-20%</v>
      </c>
    </row>
    <row r="290" spans="1:12" x14ac:dyDescent="0.25">
      <c r="A290" s="1" t="s">
        <v>334</v>
      </c>
      <c r="B290" s="2">
        <v>45595</v>
      </c>
      <c r="C290" s="1" t="s">
        <v>11</v>
      </c>
      <c r="D290" s="1" t="s">
        <v>26</v>
      </c>
      <c r="E290" s="1" t="s">
        <v>12</v>
      </c>
      <c r="F290" s="1" t="s">
        <v>85</v>
      </c>
      <c r="G290">
        <v>2577.35</v>
      </c>
      <c r="H290">
        <v>4</v>
      </c>
      <c r="I290">
        <v>0.1</v>
      </c>
      <c r="J290">
        <v>-62.92</v>
      </c>
      <c r="K290" t="str">
        <f>_xlfn.XLOOKUP(Order_ID_Order[[#This Row],[Region]],'Analysis Dashboard'!O$2:O$5,'Analysis Dashboard'!P$2:P$5)</f>
        <v>Rahul Verma</v>
      </c>
      <c r="L290" t="str">
        <f t="shared" si="4"/>
        <v>0-10%</v>
      </c>
    </row>
    <row r="291" spans="1:12" x14ac:dyDescent="0.25">
      <c r="A291" s="1" t="s">
        <v>87</v>
      </c>
      <c r="B291" s="2">
        <v>45747</v>
      </c>
      <c r="C291" s="1" t="s">
        <v>62</v>
      </c>
      <c r="D291" s="1" t="s">
        <v>26</v>
      </c>
      <c r="E291" s="1" t="s">
        <v>27</v>
      </c>
      <c r="F291" s="1" t="s">
        <v>88</v>
      </c>
      <c r="G291">
        <v>995.97</v>
      </c>
      <c r="H291">
        <v>4</v>
      </c>
      <c r="I291">
        <v>0.2</v>
      </c>
      <c r="J291">
        <v>-165.36</v>
      </c>
      <c r="K291" t="str">
        <f>_xlfn.XLOOKUP(Order_ID_Order[[#This Row],[Region]],'Analysis Dashboard'!O$2:O$5,'Analysis Dashboard'!P$2:P$5)</f>
        <v>Priya Sharma</v>
      </c>
      <c r="L291" t="str">
        <f t="shared" si="4"/>
        <v>11-20%</v>
      </c>
    </row>
    <row r="292" spans="1:12" x14ac:dyDescent="0.25">
      <c r="A292" s="1" t="s">
        <v>335</v>
      </c>
      <c r="B292" s="2">
        <v>45344</v>
      </c>
      <c r="C292" s="1" t="s">
        <v>11</v>
      </c>
      <c r="D292" s="1" t="s">
        <v>22</v>
      </c>
      <c r="E292" s="1" t="s">
        <v>35</v>
      </c>
      <c r="F292" s="1" t="s">
        <v>24</v>
      </c>
      <c r="G292">
        <v>50.28</v>
      </c>
      <c r="H292">
        <v>3</v>
      </c>
      <c r="I292">
        <v>0.5</v>
      </c>
      <c r="J292">
        <v>-20.46</v>
      </c>
      <c r="K292" t="str">
        <f>_xlfn.XLOOKUP(Order_ID_Order[[#This Row],[Region]],'Analysis Dashboard'!O$2:O$5,'Analysis Dashboard'!P$2:P$5)</f>
        <v>Rahul Verma</v>
      </c>
      <c r="L292" t="str">
        <f t="shared" si="4"/>
        <v>31-40%</v>
      </c>
    </row>
    <row r="293" spans="1:12" x14ac:dyDescent="0.25">
      <c r="A293" s="1" t="s">
        <v>336</v>
      </c>
      <c r="B293" s="2">
        <v>45763</v>
      </c>
      <c r="C293" s="1" t="s">
        <v>122</v>
      </c>
      <c r="D293" s="1" t="s">
        <v>26</v>
      </c>
      <c r="E293" s="1" t="s">
        <v>12</v>
      </c>
      <c r="F293" s="1" t="s">
        <v>88</v>
      </c>
      <c r="G293">
        <v>3420</v>
      </c>
      <c r="H293">
        <v>10</v>
      </c>
      <c r="I293">
        <v>0</v>
      </c>
      <c r="J293">
        <v>441.49</v>
      </c>
      <c r="K293" t="str">
        <f>_xlfn.XLOOKUP(Order_ID_Order[[#This Row],[Region]],'Analysis Dashboard'!O$2:O$5,'Analysis Dashboard'!P$2:P$5)</f>
        <v>Ankit Gupta</v>
      </c>
      <c r="L293" t="str">
        <f t="shared" si="4"/>
        <v>0-10%</v>
      </c>
    </row>
    <row r="294" spans="1:12" x14ac:dyDescent="0.25">
      <c r="A294" s="1" t="s">
        <v>337</v>
      </c>
      <c r="B294" s="2">
        <v>45478</v>
      </c>
      <c r="C294" s="1" t="s">
        <v>11</v>
      </c>
      <c r="D294" s="1" t="s">
        <v>22</v>
      </c>
      <c r="E294" s="1" t="s">
        <v>23</v>
      </c>
      <c r="F294" s="1" t="s">
        <v>39</v>
      </c>
      <c r="G294">
        <v>412.16</v>
      </c>
      <c r="H294">
        <v>10</v>
      </c>
      <c r="I294">
        <v>0.2</v>
      </c>
      <c r="J294">
        <v>-14.95</v>
      </c>
      <c r="K294" t="str">
        <f>_xlfn.XLOOKUP(Order_ID_Order[[#This Row],[Region]],'Analysis Dashboard'!O$2:O$5,'Analysis Dashboard'!P$2:P$5)</f>
        <v>Rahul Verma</v>
      </c>
      <c r="L294" t="str">
        <f t="shared" si="4"/>
        <v>11-20%</v>
      </c>
    </row>
    <row r="295" spans="1:12" x14ac:dyDescent="0.25">
      <c r="A295" s="1" t="s">
        <v>338</v>
      </c>
      <c r="B295" s="2">
        <v>45545</v>
      </c>
      <c r="C295" s="1" t="s">
        <v>11</v>
      </c>
      <c r="D295" s="1" t="s">
        <v>18</v>
      </c>
      <c r="E295" s="1" t="s">
        <v>43</v>
      </c>
      <c r="F295" s="1" t="s">
        <v>56</v>
      </c>
      <c r="G295">
        <v>2198.81</v>
      </c>
      <c r="H295">
        <v>4</v>
      </c>
      <c r="I295">
        <v>0.4</v>
      </c>
      <c r="J295">
        <v>-338.98</v>
      </c>
      <c r="K295" t="str">
        <f>_xlfn.XLOOKUP(Order_ID_Order[[#This Row],[Region]],'Analysis Dashboard'!O$2:O$5,'Analysis Dashboard'!P$2:P$5)</f>
        <v>Rahul Verma</v>
      </c>
      <c r="L295" t="str">
        <f t="shared" si="4"/>
        <v>31-40%</v>
      </c>
    </row>
    <row r="296" spans="1:12" x14ac:dyDescent="0.25">
      <c r="A296" s="1" t="s">
        <v>339</v>
      </c>
      <c r="B296" s="2">
        <v>45955</v>
      </c>
      <c r="C296" s="1" t="s">
        <v>11</v>
      </c>
      <c r="D296" s="1" t="s">
        <v>22</v>
      </c>
      <c r="E296" s="1" t="s">
        <v>48</v>
      </c>
      <c r="F296" s="1" t="s">
        <v>24</v>
      </c>
      <c r="G296">
        <v>573.84</v>
      </c>
      <c r="H296">
        <v>6</v>
      </c>
      <c r="I296">
        <v>0.2</v>
      </c>
      <c r="J296">
        <v>-14.17</v>
      </c>
      <c r="K296" t="str">
        <f>_xlfn.XLOOKUP(Order_ID_Order[[#This Row],[Region]],'Analysis Dashboard'!O$2:O$5,'Analysis Dashboard'!P$2:P$5)</f>
        <v>Rahul Verma</v>
      </c>
      <c r="L296" t="str">
        <f t="shared" si="4"/>
        <v>11-20%</v>
      </c>
    </row>
    <row r="297" spans="1:12" x14ac:dyDescent="0.25">
      <c r="A297" s="1" t="s">
        <v>340</v>
      </c>
      <c r="B297" s="2">
        <v>45538</v>
      </c>
      <c r="C297" s="1" t="s">
        <v>11</v>
      </c>
      <c r="D297" s="1" t="s">
        <v>22</v>
      </c>
      <c r="E297" s="1" t="s">
        <v>23</v>
      </c>
      <c r="F297" s="1" t="s">
        <v>39</v>
      </c>
      <c r="G297">
        <v>366.12</v>
      </c>
      <c r="H297">
        <v>8</v>
      </c>
      <c r="I297">
        <v>0.1</v>
      </c>
      <c r="J297">
        <v>45.77</v>
      </c>
      <c r="K297" t="str">
        <f>_xlfn.XLOOKUP(Order_ID_Order[[#This Row],[Region]],'Analysis Dashboard'!O$2:O$5,'Analysis Dashboard'!P$2:P$5)</f>
        <v>Rahul Verma</v>
      </c>
      <c r="L297" t="str">
        <f t="shared" si="4"/>
        <v>0-10%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FA050-7E35-42D6-B8D4-255090AA4CA7}">
  <dimension ref="A1:P31"/>
  <sheetViews>
    <sheetView showGridLines="0" showRowColHeaders="0" tabSelected="1" workbookViewId="0">
      <selection activeCell="P10" sqref="P10"/>
    </sheetView>
  </sheetViews>
  <sheetFormatPr defaultRowHeight="15" x14ac:dyDescent="0.25"/>
  <cols>
    <col min="1" max="1" width="11.28515625" bestFit="1" customWidth="1"/>
    <col min="2" max="2" width="11" customWidth="1"/>
    <col min="3" max="3" width="11.42578125" customWidth="1"/>
    <col min="4" max="4" width="12" customWidth="1"/>
    <col min="5" max="5" width="11.7109375" bestFit="1" customWidth="1"/>
    <col min="6" max="6" width="13.28515625" customWidth="1"/>
    <col min="7" max="7" width="13.140625" bestFit="1" customWidth="1"/>
    <col min="8" max="8" width="13.85546875" bestFit="1" customWidth="1"/>
    <col min="9" max="9" width="13.140625" bestFit="1" customWidth="1"/>
    <col min="10" max="10" width="13.85546875" bestFit="1" customWidth="1"/>
    <col min="16" max="16" width="17" bestFit="1" customWidth="1"/>
  </cols>
  <sheetData>
    <row r="1" spans="1:16" ht="15" customHeight="1" x14ac:dyDescent="0.25">
      <c r="A1" s="12" t="s">
        <v>658</v>
      </c>
      <c r="B1" s="12"/>
      <c r="C1" s="12"/>
      <c r="D1" s="12"/>
      <c r="E1" s="12"/>
      <c r="F1" s="12"/>
      <c r="G1" s="12"/>
      <c r="H1" s="12"/>
      <c r="I1" s="12"/>
      <c r="J1" s="12"/>
      <c r="K1" s="12"/>
      <c r="L1" s="12"/>
      <c r="O1" s="7" t="s">
        <v>2</v>
      </c>
      <c r="P1" s="7" t="s">
        <v>644</v>
      </c>
    </row>
    <row r="2" spans="1:16" ht="15" customHeight="1" x14ac:dyDescent="0.25">
      <c r="A2" s="12"/>
      <c r="B2" s="12"/>
      <c r="C2" s="12"/>
      <c r="D2" s="12"/>
      <c r="E2" s="12"/>
      <c r="F2" s="12"/>
      <c r="G2" s="12"/>
      <c r="H2" s="12"/>
      <c r="I2" s="12"/>
      <c r="J2" s="12"/>
      <c r="K2" s="12"/>
      <c r="L2" s="12"/>
      <c r="O2" s="5" t="s">
        <v>62</v>
      </c>
      <c r="P2" s="5" t="s">
        <v>645</v>
      </c>
    </row>
    <row r="3" spans="1:16" x14ac:dyDescent="0.25">
      <c r="O3" s="5" t="s">
        <v>11</v>
      </c>
      <c r="P3" s="5" t="s">
        <v>646</v>
      </c>
    </row>
    <row r="4" spans="1:16" ht="15" customHeight="1" x14ac:dyDescent="0.25">
      <c r="A4" s="13" t="s">
        <v>659</v>
      </c>
      <c r="B4" s="22"/>
      <c r="C4" s="23"/>
      <c r="F4" s="13" t="s">
        <v>661</v>
      </c>
      <c r="G4" s="15"/>
      <c r="J4" s="13" t="s">
        <v>660</v>
      </c>
      <c r="K4" s="14"/>
      <c r="L4" s="15"/>
      <c r="O4" s="5" t="s">
        <v>122</v>
      </c>
      <c r="P4" s="5" t="s">
        <v>647</v>
      </c>
    </row>
    <row r="5" spans="1:16" x14ac:dyDescent="0.25">
      <c r="A5" s="24"/>
      <c r="B5" s="25"/>
      <c r="C5" s="26"/>
      <c r="F5" s="16"/>
      <c r="G5" s="18"/>
      <c r="J5" s="16"/>
      <c r="K5" s="17"/>
      <c r="L5" s="18"/>
      <c r="O5" s="5" t="s">
        <v>34</v>
      </c>
      <c r="P5" s="5" t="s">
        <v>648</v>
      </c>
    </row>
    <row r="6" spans="1:16" x14ac:dyDescent="0.25">
      <c r="A6" s="27"/>
      <c r="B6" s="28"/>
      <c r="C6" s="29"/>
      <c r="F6" s="19"/>
      <c r="G6" s="21"/>
      <c r="J6" s="19"/>
      <c r="K6" s="20"/>
      <c r="L6" s="21"/>
    </row>
    <row r="20" spans="2:6" x14ac:dyDescent="0.25">
      <c r="B20" s="3" t="s">
        <v>2</v>
      </c>
      <c r="C20" t="s">
        <v>649</v>
      </c>
      <c r="E20" s="3" t="s">
        <v>8</v>
      </c>
      <c r="F20" t="s">
        <v>657</v>
      </c>
    </row>
    <row r="21" spans="2:6" x14ac:dyDescent="0.25">
      <c r="B21" s="4" t="s">
        <v>122</v>
      </c>
      <c r="C21" s="8">
        <v>75575.199999999997</v>
      </c>
      <c r="E21" s="4" t="s">
        <v>653</v>
      </c>
      <c r="F21" s="11">
        <v>602.97183206106877</v>
      </c>
    </row>
    <row r="22" spans="2:6" x14ac:dyDescent="0.25">
      <c r="B22" s="4" t="s">
        <v>62</v>
      </c>
      <c r="C22" s="8">
        <v>101404.18000000001</v>
      </c>
      <c r="E22" s="4" t="s">
        <v>654</v>
      </c>
      <c r="F22" s="11">
        <v>70.851791044776121</v>
      </c>
    </row>
    <row r="23" spans="2:6" x14ac:dyDescent="0.25">
      <c r="B23" s="4" t="s">
        <v>34</v>
      </c>
      <c r="C23" s="8">
        <v>76103.060000000012</v>
      </c>
      <c r="E23" s="4" t="s">
        <v>655</v>
      </c>
      <c r="F23" s="11">
        <v>-136.56533333333334</v>
      </c>
    </row>
    <row r="24" spans="2:6" x14ac:dyDescent="0.25">
      <c r="B24" s="4" t="s">
        <v>11</v>
      </c>
      <c r="C24" s="8">
        <v>245903.11000000013</v>
      </c>
      <c r="E24" s="4" t="s">
        <v>656</v>
      </c>
      <c r="F24" s="11">
        <v>-285.64764705882357</v>
      </c>
    </row>
    <row r="25" spans="2:6" x14ac:dyDescent="0.25">
      <c r="B25" s="4" t="s">
        <v>643</v>
      </c>
      <c r="C25" s="8">
        <v>498985.55000000016</v>
      </c>
      <c r="E25" s="4" t="s">
        <v>643</v>
      </c>
      <c r="F25" s="11">
        <v>203.4303378378379</v>
      </c>
    </row>
    <row r="27" spans="2:6" x14ac:dyDescent="0.25">
      <c r="B27" s="3" t="s">
        <v>3</v>
      </c>
      <c r="C27" s="8" t="s">
        <v>649</v>
      </c>
      <c r="D27" s="8" t="s">
        <v>650</v>
      </c>
      <c r="E27" s="6" t="s">
        <v>651</v>
      </c>
    </row>
    <row r="28" spans="2:6" x14ac:dyDescent="0.25">
      <c r="B28" s="4" t="s">
        <v>26</v>
      </c>
      <c r="C28" s="8">
        <v>119720.20999999999</v>
      </c>
      <c r="D28" s="8">
        <v>-8348.1900000000041</v>
      </c>
      <c r="E28" s="9">
        <f>D28/C28</f>
        <v>-6.9730833248621976E-2</v>
      </c>
    </row>
    <row r="29" spans="2:6" x14ac:dyDescent="0.25">
      <c r="B29" s="4" t="s">
        <v>22</v>
      </c>
      <c r="C29" s="8">
        <v>49795.839999999997</v>
      </c>
      <c r="D29" s="8">
        <v>692.08000000000027</v>
      </c>
      <c r="E29" s="9">
        <f t="shared" ref="E29:E31" si="0">D29/C29</f>
        <v>1.3898349741665173E-2</v>
      </c>
    </row>
    <row r="30" spans="2:6" x14ac:dyDescent="0.25">
      <c r="B30" s="4" t="s">
        <v>18</v>
      </c>
      <c r="C30" s="8">
        <v>329469.50000000006</v>
      </c>
      <c r="D30" s="8">
        <v>67871.490000000034</v>
      </c>
      <c r="E30" s="9">
        <f t="shared" si="0"/>
        <v>0.20600234619593019</v>
      </c>
    </row>
    <row r="31" spans="2:6" x14ac:dyDescent="0.25">
      <c r="B31" s="4" t="s">
        <v>643</v>
      </c>
      <c r="C31" s="8">
        <v>498985.55000000005</v>
      </c>
      <c r="D31" s="8">
        <v>60215.380000000034</v>
      </c>
      <c r="E31" s="10">
        <f t="shared" si="0"/>
        <v>0.12067559872224762</v>
      </c>
    </row>
  </sheetData>
  <mergeCells count="4">
    <mergeCell ref="A1:L2"/>
    <mergeCell ref="A4:C6"/>
    <mergeCell ref="J4:L6"/>
    <mergeCell ref="F4:G6"/>
  </mergeCells>
  <pageMargins left="0.7" right="0.7" top="0.75" bottom="0.75" header="0.3" footer="0.3"/>
  <pageSetup orientation="portrait" r:id="rId4"/>
  <drawing r:id="rId5"/>
  <extLst>
    <ext xmlns:x14="http://schemas.microsoft.com/office/spreadsheetml/2009/9/main" uri="{A8765BA9-456A-4dab-B4F3-ACF838C121DE}">
      <x14:slicerList>
        <x14:slicer r:id="rId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037E8A9-FE30-4577-8FB5-E5F615995C9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 Data</vt:lpstr>
      <vt:lpstr>Cleaned Data</vt:lpstr>
      <vt:lpstr>Analysis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Anas Khan</dc:creator>
  <cp:lastModifiedBy>Anas Khan</cp:lastModifiedBy>
  <dcterms:created xsi:type="dcterms:W3CDTF">2026-08-03T19:44:05Z</dcterms:created>
  <dcterms:modified xsi:type="dcterms:W3CDTF">2026-08-06T19:32:52Z</dcterms:modified>
</cp:coreProperties>
</file>